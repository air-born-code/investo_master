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e6e79749443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s" sheetId="1" r:id="R515a09c390694261"/>
    <x:sheet xmlns:r="http://schemas.openxmlformats.org/officeDocument/2006/relationships" name="Themes" sheetId="2" r:id="R072d1f4abd4142f2"/>
    <x:sheet xmlns:r="http://schemas.openxmlformats.org/officeDocument/2006/relationships" name="Asset Themes" sheetId="3" r:id="R93b0ee87fb174c4f"/>
    <x:sheet xmlns:r="http://schemas.openxmlformats.org/officeDocument/2006/relationships" name="Weekly Metrics" sheetId="4" r:id="R2f46268317814a65"/>
    <x:sheet xmlns:r="http://schemas.openxmlformats.org/officeDocument/2006/relationships" name="Scores" sheetId="5" r:id="R47735402650547ea"/>
    <x:sheet xmlns:r="http://schemas.openxmlformats.org/officeDocument/2006/relationships" name="Thesis Updates" sheetId="6" r:id="Radc2e89a41d64300"/>
    <x:sheet xmlns:r="http://schemas.openxmlformats.org/officeDocument/2006/relationships" name="Sources" sheetId="7" r:id="Re95631fb0f9f4eb5"/>
    <x:sheet xmlns:r="http://schemas.openxmlformats.org/officeDocument/2006/relationships" name="Reports" sheetId="8" r:id="Rc9e9f89c03f9457a"/>
    <x:sheet xmlns:r="http://schemas.openxmlformats.org/officeDocument/2006/relationships" name="Cover" sheetId="9" r:id="R537a925d15034bbb"/>
    <x:sheet xmlns:r="http://schemas.openxmlformats.org/officeDocument/2006/relationships" name="Checks" sheetId="10" r:id="Re50d7390c69a43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$0.00"/>
    <x:numFmt numFmtId="202" formatCode="$#,##0;[Red]($#,##0);-"/>
    <x:numFmt numFmtId="203" formatCode="0.0%;[Red](0.0%);-"/>
    <x:numFmt numFmtId="204" formatCode="yyyy-mm-dd hh:mm &quot;UTC&quot;"/>
  </x:numFmts>
  <x:fonts count="17">
    <x:font>
      <x:sz val="11"/>
      <x:name val="Carlito"/>
    </x:font>
    <x:font>
      <x:b/>
      <x:sz val="24"/>
      <x:color rgb="FFFFFFFF"/>
      <x:name val="Carlito"/>
    </x:font>
    <x:font>
      <x:sz val="10"/>
      <x:color rgb="FFC9D3DF"/>
      <x:name val="Carlito"/>
    </x:font>
    <x:font>
      <x:b/>
      <x:sz val="12"/>
      <x:color rgb="FFFFFFFF"/>
      <x:name val="Carlito"/>
    </x:font>
    <x:font>
      <x:b/>
      <x:sz val="10"/>
      <x:color rgb="FF527095"/>
      <x:name val="Carlito"/>
    </x:font>
    <x:font>
      <x:b/>
      <x:sz val="18"/>
      <x:color rgb="FF26533A"/>
      <x:name val="Carlito"/>
    </x:font>
    <x:font>
      <x:b/>
      <x:sz val="20"/>
      <x:color rgb="FF13263D"/>
      <x:name val="Carlito"/>
    </x:font>
    <x:font>
      <x:sz val="12"/>
      <x:color rgb="FF263849"/>
      <x:name val="Carlito"/>
    </x:font>
    <x:font>
      <x:b/>
      <x:sz val="11"/>
      <x:color rgb="FFFFFFFF"/>
      <x:name val="Carlito"/>
    </x:font>
    <x:font>
      <x:sz val="11"/>
      <x:color rgb="FF263849"/>
      <x:name val="Carlito"/>
    </x:font>
    <x:font>
      <x:sz val="9"/>
      <x:color rgb="FF263849"/>
      <x:name val="Carlito"/>
    </x:font>
    <x:font>
      <x:b/>
      <x:sz val="9"/>
      <x:color rgb="FFFFFFFF"/>
      <x:name val="Carlito"/>
    </x:font>
    <x:font>
      <x:b/>
      <x:sz val="9"/>
      <x:color rgb="FF26533A"/>
      <x:name val="Carlito"/>
    </x:font>
    <x:font>
      <x:b/>
      <x:sz val="9"/>
      <x:color rgb="FF6A4A0E"/>
      <x:name val="Carlito"/>
    </x:font>
    <x:font>
      <x:b/>
      <x:sz val="20"/>
      <x:color rgb="FFFFFFFF"/>
      <x:name val="Carlito"/>
    </x:font>
    <x:font>
      <x:b/>
      <x:sz val="11"/>
      <x:color rgb="FF26533A"/>
      <x:name val="Carlito"/>
    </x:font>
    <x:font>
      <x:b/>
      <x:sz val="16"/>
      <x:color rgb="FF26533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3263D"/>
      </x:patternFill>
    </x:fill>
    <x:fill>
      <x:patternFill patternType="solid">
        <x:fgColor rgb="FF527095"/>
      </x:patternFill>
    </x:fill>
    <x:fill>
      <x:patternFill patternType="solid">
        <x:fgColor rgb="FFE2E6E8"/>
      </x:patternFill>
    </x:fill>
    <x:fill>
      <x:patternFill patternType="solid">
        <x:fgColor rgb="FFE7EDE8"/>
      </x:patternFill>
    </x:fill>
    <x:fill>
      <x:patternFill patternType="solid">
        <x:fgColor rgb="FFFFFFFF"/>
      </x:patternFill>
    </x:fill>
    <x:fill>
      <x:patternFill patternType="solid">
        <x:fgColor rgb="FFF7F4EC"/>
      </x:patternFill>
    </x:fill>
    <x:fill>
      <x:patternFill patternType="solid">
        <x:fgColor rgb="FFF5EAD2"/>
      </x:patternFill>
    </x:fill>
  </x:fills>
  <x:borders count="34">
    <x:border/>
    <x:border/>
    <x:border>
      <x:left style="thin">
        <x:color rgb="FFD9D7CF"/>
      </x:left>
      <x:top style="thin">
        <x:color rgb="FFD9D7CF"/>
      </x:top>
    </x:border>
    <x:border>
      <x:top style="thin">
        <x:color rgb="FFD9D7CF"/>
      </x:top>
    </x:border>
    <x:border>
      <x:right style="thin">
        <x:color rgb="FFD9D7CF"/>
      </x:right>
      <x:top style="thin">
        <x:color rgb="FFD9D7CF"/>
      </x:top>
    </x:border>
    <x:border>
      <x:left style="thin">
        <x:color rgb="FFD9D7CF"/>
      </x:left>
    </x:border>
    <x:border>
      <x:right style="thin">
        <x:color rgb="FFD9D7CF"/>
      </x:right>
    </x:border>
    <x:border>
      <x:left style="thin">
        <x:color rgb="FFD9D7CF"/>
      </x:left>
      <x:bottom style="thin">
        <x:color rgb="FFD9D7CF"/>
      </x:bottom>
    </x:border>
    <x:border>
      <x:bottom style="thin">
        <x:color rgb="FFD9D7CF"/>
      </x:bottom>
    </x:border>
    <x:border>
      <x:right style="thin">
        <x:color rgb="FFD9D7CF"/>
      </x:right>
      <x:bottom style="thin">
        <x:color rgb="FFD9D7CF"/>
      </x:bottom>
    </x:border>
    <x:border>
      <x:left style="thin">
        <x:color rgb="FFD9D7CF"/>
      </x:left>
      <x:top style="thin">
        <x:color rgb="FFD9D7CF"/>
      </x:top>
    </x:border>
    <x:border>
      <x:top style="thin">
        <x:color rgb="FFD9D7CF"/>
      </x:top>
    </x:border>
    <x:border>
      <x:right style="thin">
        <x:color rgb="FFD9D7CF"/>
      </x:right>
      <x:top style="thin">
        <x:color rgb="FFD9D7CF"/>
      </x:top>
    </x:border>
    <x:border>
      <x:left style="thin">
        <x:color rgb="FFD9D7CF"/>
      </x:left>
    </x:border>
    <x:border>
      <x:right style="thin">
        <x:color rgb="FFD9D7CF"/>
      </x:right>
    </x:border>
    <x:border>
      <x:left style="thin">
        <x:color rgb="FFD9D7CF"/>
      </x:left>
      <x:bottom style="thin">
        <x:color rgb="FFD9D7CF"/>
      </x:bottom>
    </x:border>
    <x:border>
      <x:bottom style="thin">
        <x:color rgb="FFD9D7CF"/>
      </x:bottom>
    </x:border>
    <x:border>
      <x:right style="thin">
        <x:color rgb="FFD9D7CF"/>
      </x:right>
      <x:bottom style="thin">
        <x:color rgb="FFD9D7CF"/>
      </x:bottom>
    </x:border>
    <x:border>
      <x:left style="thin">
        <x:color rgb="FFD9D7CF"/>
      </x:left>
      <x:right style="thin">
        <x:color rgb="FFD9D7CF"/>
      </x:right>
      <x:bottom style="thin">
        <x:color rgb="FFD9D7CF"/>
      </x:bottom>
    </x:border>
    <x:border>
      <x:right style="thin">
        <x:color rgb="FFD9D7CF"/>
      </x:right>
      <x:top style="thin">
        <x:color rgb="FFD9D7CF"/>
      </x:top>
      <x:bottom style="thin">
        <x:color rgb="FFD9D7CF"/>
      </x:bottom>
    </x:border>
    <x:border>
      <x:left style="thin">
        <x:color rgb="FFD9D7CF"/>
      </x:left>
      <x:right style="thin">
        <x:color rgb="FFD9D7CF"/>
      </x:right>
      <x:top style="thin">
        <x:color rgb="FFD9D7CF"/>
      </x:top>
      <x:bottom style="thin">
        <x:color rgb="FFD9D7CF"/>
      </x:bottom>
    </x:border>
    <x:border>
      <x:left style="thin">
        <x:color rgb="FFD9D7CF"/>
      </x:left>
      <x:top style="thin">
        <x:color rgb="FFD9D7CF"/>
      </x:top>
      <x:bottom style="thin">
        <x:color rgb="FFD9D7CF"/>
      </x:bottom>
    </x:border>
    <x:border>
      <x:left style="thin">
        <x:color rgb="FFD9D7CF"/>
      </x:left>
      <x:right style="thin">
        <x:color rgb="FFD9D7CF"/>
      </x:right>
      <x:top style="thin">
        <x:color rgb="FFD9D7CF"/>
      </x:top>
    </x:border>
    <x:border>
      <x:left style="thin">
        <x:color rgb="FFD9D7CF"/>
      </x:left>
      <x:right style="thin">
        <x:color rgb="FFD9D7CF"/>
      </x:right>
      <x:bottom style="thin">
        <x:color rgb="FFD9D7CF"/>
      </x:bottom>
    </x:border>
    <x:border>
      <x:right style="thin">
        <x:color rgb="FFD9D7CF"/>
      </x:right>
      <x:top style="thin">
        <x:color rgb="FFD9D7CF"/>
      </x:top>
      <x:bottom style="thin">
        <x:color rgb="FFD9D7CF"/>
      </x:bottom>
    </x:border>
    <x:border>
      <x:left style="thin">
        <x:color rgb="FFD9D7CF"/>
      </x:left>
      <x:right style="thin">
        <x:color rgb="FFD9D7CF"/>
      </x:right>
      <x:top style="thin">
        <x:color rgb="FFD9D7CF"/>
      </x:top>
      <x:bottom style="thin">
        <x:color rgb="FFD9D7CF"/>
      </x:bottom>
    </x:border>
    <x:border>
      <x:left style="thin">
        <x:color rgb="FFD9D7CF"/>
      </x:left>
      <x:top style="thin">
        <x:color rgb="FFD9D7CF"/>
      </x:top>
      <x:bottom style="thin">
        <x:color rgb="FFD9D7CF"/>
      </x:bottom>
    </x:border>
    <x:border>
      <x:left style="thin">
        <x:color rgb="FFD9D7CF"/>
      </x:left>
      <x:right style="thin">
        <x:color rgb="FFD9D7CF"/>
      </x:right>
      <x:top style="thin">
        <x:color rgb="FFD9D7CF"/>
      </x:top>
    </x:border>
    <x:border>
      <x:left style="thin">
        <x:color rgb="FF13263D"/>
      </x:left>
      <x:top style="thin">
        <x:color rgb="FF13263D"/>
      </x:top>
      <x:bottom style="thin">
        <x:color rgb="FF13263D"/>
      </x:bottom>
    </x:border>
    <x:border>
      <x:top style="thin">
        <x:color rgb="FF13263D"/>
      </x:top>
      <x:bottom style="thin">
        <x:color rgb="FF13263D"/>
      </x:bottom>
    </x:border>
    <x:border>
      <x:right style="thin">
        <x:color rgb="FF13263D"/>
      </x:right>
      <x:top style="thin">
        <x:color rgb="FF13263D"/>
      </x:top>
      <x:bottom style="thin">
        <x:color rgb="FF13263D"/>
      </x:bottom>
    </x:border>
    <x:border>
      <x:left style="thin">
        <x:color rgb="FF13263D"/>
      </x:left>
      <x:top style="thin">
        <x:color rgb="FF13263D"/>
      </x:top>
      <x:bottom style="thin">
        <x:color rgb="FF13263D"/>
      </x:bottom>
    </x:border>
    <x:border>
      <x:top style="thin">
        <x:color rgb="FF13263D"/>
      </x:top>
      <x:bottom style="thin">
        <x:color rgb="FF13263D"/>
      </x:bottom>
    </x:border>
    <x:border>
      <x:right style="thin">
        <x:color rgb="FF13263D"/>
      </x:right>
      <x:top style="thin">
        <x:color rgb="FF13263D"/>
      </x:top>
      <x:bottom style="thin">
        <x:color rgb="FF13263D"/>
      </x:bottom>
    </x:border>
  </x:borders>
  <x:cellStyleXfs count="1">
    <x:xf numFmtId="0" fontId="0" fillId="0" borderId="0"/>
  </x:cellStyleXfs>
  <x:cellXfs count="2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200" fontId="6" fillId="6" borderId="0" xfId="0" applyNumberFormat="1" applyFont="1" applyFill="1" applyBorder="1"/>
    <x:xf numFmtId="200" fontId="6" fillId="6" borderId="1" xfId="0" applyNumberFormat="1" applyFont="1" applyFill="1" applyBorder="1"/>
    <x:xf numFmtId="200" fontId="6" fillId="6" borderId="0" xfId="0" applyNumberFormat="1" applyFont="1" applyFill="1" applyBorder="1" applyAlignment="1">
      <x:alignment horizontal="center"/>
    </x:xf>
    <x:xf numFmtId="200" fontId="6" fillId="6" borderId="1" xfId="0" applyNumberFormat="1" applyFont="1" applyFill="1" applyBorder="1" applyAlignment="1">
      <x:alignment horizontal="center"/>
    </x:xf>
    <x:xf numFmtId="200" fontId="6" fillId="6" borderId="0" xfId="0" applyNumberFormat="1" applyFont="1" applyFill="1" applyBorder="1" applyAlignment="1">
      <x:alignment horizontal="center" vertical="center"/>
    </x:xf>
    <x:xf numFmtId="200" fontId="6" fillId="6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 vertical="center"/>
    </x:xf>
    <x:xf numFmtId="200" fontId="6" fillId="6" borderId="6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200" fontId="6" fillId="6" borderId="8" xfId="0" applyNumberFormat="1" applyFont="1" applyFill="1" applyBorder="1" applyAlignment="1">
      <x:alignment horizontal="center" vertical="center"/>
    </x:xf>
    <x:xf numFmtId="200" fontId="6" fillId="6" borderId="9" xfId="0" applyNumberFormat="1" applyFont="1" applyFill="1" applyBorder="1" applyAlignment="1">
      <x:alignment horizontal="center" vertical="center"/>
    </x:xf>
    <x:xf numFmtId="0" fontId="4" fillId="4" borderId="10" xfId="0" applyNumberFormat="1" applyFont="1" applyFill="1" applyBorder="1" applyAlignment="1">
      <x:alignment horizontal="center"/>
    </x:xf>
    <x:xf numFmtId="0" fontId="4" fillId="4" borderId="11" xfId="0" applyNumberFormat="1" applyFont="1" applyFill="1" applyBorder="1" applyAlignment="1">
      <x:alignment horizontal="center"/>
    </x:xf>
    <x:xf numFmtId="0" fontId="4" fillId="4" borderId="12" xfId="0" applyNumberFormat="1" applyFont="1" applyFill="1" applyBorder="1" applyAlignment="1">
      <x:alignment horizontal="center"/>
    </x:xf>
    <x:xf numFmtId="0" fontId="5" fillId="5" borderId="13" xfId="0" applyNumberFormat="1" applyFont="1" applyFill="1" applyBorder="1" applyAlignment="1">
      <x:alignment horizontal="center" vertical="center"/>
    </x:xf>
    <x:xf numFmtId="200" fontId="6" fillId="6" borderId="14" xfId="0" applyNumberFormat="1" applyFont="1" applyFill="1" applyBorder="1" applyAlignment="1">
      <x:alignment horizontal="center" vertical="center"/>
    </x:xf>
    <x:xf numFmtId="0" fontId="5" fillId="5" borderId="15" xfId="0" applyNumberFormat="1" applyFont="1" applyFill="1" applyBorder="1" applyAlignment="1">
      <x:alignment horizontal="center" vertical="center"/>
    </x:xf>
    <x:xf numFmtId="0" fontId="5" fillId="5" borderId="16" xfId="0" applyNumberFormat="1" applyFont="1" applyFill="1" applyBorder="1" applyAlignment="1">
      <x:alignment horizontal="center" vertical="center"/>
    </x:xf>
    <x:xf numFmtId="200" fontId="6" fillId="6" borderId="16" xfId="0" applyNumberFormat="1" applyFont="1" applyFill="1" applyBorder="1" applyAlignment="1">
      <x:alignment horizontal="center" vertical="center"/>
    </x:xf>
    <x:xf numFmtId="200" fontId="6" fillId="6" borderId="1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7" fillId="7" borderId="10" xfId="0" applyNumberFormat="1" applyFont="1" applyFill="1" applyBorder="1" applyAlignment="1">
      <x:alignment vertical="center" wrapText="1"/>
    </x:xf>
    <x:xf numFmtId="0" fontId="7" fillId="7" borderId="11" xfId="0" applyNumberFormat="1" applyFont="1" applyFill="1" applyBorder="1" applyAlignment="1">
      <x:alignment vertical="center" wrapText="1"/>
    </x:xf>
    <x:xf numFmtId="0" fontId="7" fillId="7" borderId="12" xfId="0" applyNumberFormat="1" applyFont="1" applyFill="1" applyBorder="1" applyAlignment="1">
      <x:alignment vertical="center" wrapText="1"/>
    </x:xf>
    <x:xf numFmtId="0" fontId="7" fillId="7" borderId="13" xfId="0" applyNumberFormat="1" applyFont="1" applyFill="1" applyBorder="1" applyAlignment="1">
      <x:alignment vertical="center" wrapText="1"/>
    </x:xf>
    <x:xf numFmtId="0" fontId="7" fillId="7" borderId="14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7" fillId="7" borderId="16" xfId="0" applyNumberFormat="1" applyFont="1" applyFill="1" applyBorder="1" applyAlignment="1">
      <x:alignment vertical="center" wrapText="1"/>
    </x:xf>
    <x:xf numFmtId="0" fontId="7" fillId="7" borderId="17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9" fillId="6" borderId="0" xfId="0" applyNumberFormat="1" applyFont="1" applyFill="1" applyBorder="1"/>
    <x:xf numFmtId="0" fontId="9" fillId="6" borderId="1" xfId="0" applyNumberFormat="1" applyFont="1" applyFill="1" applyBorder="1"/>
    <x:xf numFmtId="0" fontId="9" fillId="6" borderId="9" xfId="0" applyNumberFormat="1" applyFont="1" applyFill="1" applyBorder="1"/>
    <x:xf numFmtId="0" fontId="9" fillId="6" borderId="18" xfId="0" applyNumberFormat="1" applyFont="1" applyFill="1" applyBorder="1"/>
    <x:xf numFmtId="0" fontId="9" fillId="6" borderId="7" xfId="0" applyNumberFormat="1" applyFont="1" applyFill="1" applyBorder="1"/>
    <x:xf numFmtId="0" fontId="9" fillId="6" borderId="19" xfId="0" applyNumberFormat="1" applyFont="1" applyFill="1" applyBorder="1"/>
    <x:xf numFmtId="0" fontId="9" fillId="6" borderId="20" xfId="0" applyNumberFormat="1" applyFont="1" applyFill="1" applyBorder="1"/>
    <x:xf numFmtId="0" fontId="9" fillId="6" borderId="21" xfId="0" applyNumberFormat="1" applyFont="1" applyFill="1" applyBorder="1"/>
    <x:xf numFmtId="0" fontId="9" fillId="6" borderId="4" xfId="0" applyNumberFormat="1" applyFont="1" applyFill="1" applyBorder="1"/>
    <x:xf numFmtId="0" fontId="9" fillId="6" borderId="22" xfId="0" applyNumberFormat="1" applyFont="1" applyFill="1" applyBorder="1"/>
    <x:xf numFmtId="0" fontId="9" fillId="6" borderId="2" xfId="0" applyNumberFormat="1" applyFont="1" applyFill="1" applyBorder="1"/>
    <x:xf numFmtId="0" fontId="9" fillId="6" borderId="17" xfId="0" applyNumberFormat="1" applyFont="1" applyFill="1" applyBorder="1"/>
    <x:xf numFmtId="0" fontId="9" fillId="6" borderId="23" xfId="0" applyNumberFormat="1" applyFont="1" applyFill="1" applyBorder="1"/>
    <x:xf numFmtId="0" fontId="9" fillId="6" borderId="15" xfId="0" applyNumberFormat="1" applyFont="1" applyFill="1" applyBorder="1"/>
    <x:xf numFmtId="0" fontId="9" fillId="6" borderId="24" xfId="0" applyNumberFormat="1" applyFont="1" applyFill="1" applyBorder="1"/>
    <x:xf numFmtId="0" fontId="9" fillId="6" borderId="25" xfId="0" applyNumberFormat="1" applyFont="1" applyFill="1" applyBorder="1"/>
    <x:xf numFmtId="0" fontId="9" fillId="6" borderId="26" xfId="0" applyNumberFormat="1" applyFont="1" applyFill="1" applyBorder="1"/>
    <x:xf numFmtId="0" fontId="9" fillId="6" borderId="12" xfId="0" applyNumberFormat="1" applyFont="1" applyFill="1" applyBorder="1"/>
    <x:xf numFmtId="0" fontId="9" fillId="6" borderId="27" xfId="0" applyNumberFormat="1" applyFont="1" applyFill="1" applyBorder="1"/>
    <x:xf numFmtId="0" fontId="9" fillId="6" borderId="10" xfId="0" applyNumberFormat="1" applyFont="1" applyFill="1" applyBorder="1"/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0" xfId="0" applyNumberFormat="1" applyFont="1" applyFill="1" applyBorder="1" applyAlignment="1">
      <x:alignment vertical="top"/>
    </x:xf>
    <x:xf numFmtId="0" fontId="10" fillId="0" borderId="1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vertical="top" wrapText="1"/>
    </x:xf>
    <x:xf numFmtId="0" fontId="10" fillId="2" borderId="1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vertical="top" wrapText="1"/>
    </x:xf>
    <x:xf numFmtId="0" fontId="11" fillId="2" borderId="1" xfId="0" applyNumberFormat="1" applyFont="1" applyFill="1" applyBorder="1" applyAlignment="1">
      <x:alignment vertical="top" wrapText="1"/>
    </x:xf>
    <x:xf numFmtId="0" fontId="11" fillId="2" borderId="28" xfId="0" applyNumberFormat="1" applyFont="1" applyFill="1" applyBorder="1" applyAlignment="1">
      <x:alignment vertical="top" wrapText="1"/>
    </x:xf>
    <x:xf numFmtId="0" fontId="11" fillId="2" borderId="29" xfId="0" applyNumberFormat="1" applyFont="1" applyFill="1" applyBorder="1" applyAlignment="1">
      <x:alignment vertical="top" wrapText="1"/>
    </x:xf>
    <x:xf numFmtId="0" fontId="11" fillId="2" borderId="30" xfId="0" applyNumberFormat="1" applyFont="1" applyFill="1" applyBorder="1" applyAlignment="1">
      <x:alignment vertical="top" wrapText="1"/>
    </x:xf>
    <x:xf numFmtId="0" fontId="11" fillId="2" borderId="31" xfId="0" applyNumberFormat="1" applyFont="1" applyFill="1" applyBorder="1" applyAlignment="1">
      <x:alignment vertical="top" wrapText="1"/>
    </x:xf>
    <x:xf numFmtId="0" fontId="11" fillId="2" borderId="32" xfId="0" applyNumberFormat="1" applyFont="1" applyFill="1" applyBorder="1" applyAlignment="1">
      <x:alignment vertical="top" wrapText="1"/>
    </x:xf>
    <x:xf numFmtId="0" fontId="11" fillId="2" borderId="33" xfId="0" applyNumberFormat="1" applyFont="1" applyFill="1" applyBorder="1" applyAlignment="1">
      <x:alignment vertical="top" wrapText="1"/>
    </x:xf>
    <x:xf numFmtId="0" fontId="11" fillId="2" borderId="28" xfId="0" applyNumberFormat="1" applyFont="1" applyFill="1" applyBorder="1" applyAlignment="1">
      <x:alignment vertical="center" wrapText="1"/>
    </x:xf>
    <x:xf numFmtId="0" fontId="11" fillId="2" borderId="29" xfId="0" applyNumberFormat="1" applyFont="1" applyFill="1" applyBorder="1" applyAlignment="1">
      <x:alignment vertical="center" wrapText="1"/>
    </x:xf>
    <x:xf numFmtId="0" fontId="11" fillId="2" borderId="30" xfId="0" applyNumberFormat="1" applyFont="1" applyFill="1" applyBorder="1" applyAlignment="1">
      <x:alignment vertical="center" wrapText="1"/>
    </x:xf>
    <x:xf numFmtId="0" fontId="11" fillId="2" borderId="31" xfId="0" applyNumberFormat="1" applyFont="1" applyFill="1" applyBorder="1" applyAlignment="1">
      <x:alignment vertical="center" wrapText="1"/>
    </x:xf>
    <x:xf numFmtId="0" fontId="11" fillId="2" borderId="32" xfId="0" applyNumberFormat="1" applyFont="1" applyFill="1" applyBorder="1" applyAlignment="1">
      <x:alignment vertical="center" wrapText="1"/>
    </x:xf>
    <x:xf numFmtId="0" fontId="11" fillId="2" borderId="33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vertical="top" wrapText="1"/>
    </x:xf>
    <x:xf numFmtId="200" fontId="10" fillId="0" borderId="1" xfId="0" applyNumberFormat="1" applyFont="1" applyFill="1" applyBorder="1" applyAlignment="1">
      <x:alignment vertical="top" wrapText="1"/>
    </x:xf>
    <x:xf numFmtId="200" fontId="10" fillId="5" borderId="0" xfId="0" applyNumberFormat="1" applyFont="1" applyFill="1" applyBorder="1" applyAlignment="1">
      <x:alignment vertical="top" wrapText="1"/>
    </x:xf>
    <x:xf numFmtId="200" fontId="10" fillId="5" borderId="1" xfId="0" applyNumberFormat="1" applyFont="1" applyFill="1" applyBorder="1" applyAlignment="1">
      <x:alignment vertical="top" wrapText="1"/>
    </x:xf>
    <x:xf numFmtId="200" fontId="12" fillId="5" borderId="0" xfId="0" applyNumberFormat="1" applyFont="1" applyFill="1" applyBorder="1" applyAlignment="1">
      <x:alignment vertical="top" wrapText="1"/>
    </x:xf>
    <x:xf numFmtId="200" fontId="12" fillId="5" borderId="1" xfId="0" applyNumberFormat="1" applyFont="1" applyFill="1" applyBorder="1" applyAlignment="1">
      <x:alignment vertical="top" wrapText="1"/>
    </x:xf>
    <x:xf numFmtId="200" fontId="10" fillId="8" borderId="0" xfId="0" applyNumberFormat="1" applyFont="1" applyFill="1" applyBorder="1" applyAlignment="1">
      <x:alignment vertical="top" wrapText="1"/>
    </x:xf>
    <x:xf numFmtId="200" fontId="10" fillId="8" borderId="1" xfId="0" applyNumberFormat="1" applyFont="1" applyFill="1" applyBorder="1" applyAlignment="1">
      <x:alignment vertical="top" wrapText="1"/>
    </x:xf>
    <x:xf numFmtId="200" fontId="13" fillId="8" borderId="0" xfId="0" applyNumberFormat="1" applyFont="1" applyFill="1" applyBorder="1" applyAlignment="1">
      <x:alignment vertical="top" wrapText="1"/>
    </x:xf>
    <x:xf numFmtId="200" fontId="13" fillId="8" borderId="1" xfId="0" applyNumberFormat="1" applyFont="1" applyFill="1" applyBorder="1" applyAlignment="1">
      <x:alignment vertical="top" wrapText="1"/>
    </x:xf>
    <x:xf numFmtId="201" fontId="10" fillId="0" borderId="0" xfId="0" applyNumberFormat="1" applyFont="1" applyFill="1" applyBorder="1" applyAlignment="1">
      <x:alignment vertical="top" wrapText="1"/>
    </x:xf>
    <x:xf numFmtId="201" fontId="10" fillId="0" borderId="1" xfId="0" applyNumberFormat="1" applyFont="1" applyFill="1" applyBorder="1" applyAlignment="1">
      <x:alignment vertical="top" wrapText="1"/>
    </x:xf>
    <x:xf numFmtId="202" fontId="10" fillId="0" borderId="0" xfId="0" applyNumberFormat="1" applyFont="1" applyFill="1" applyBorder="1" applyAlignment="1">
      <x:alignment vertical="top" wrapText="1"/>
    </x:xf>
    <x:xf numFmtId="202" fontId="10" fillId="0" borderId="1" xfId="0" applyNumberFormat="1" applyFont="1" applyFill="1" applyBorder="1" applyAlignment="1">
      <x:alignment vertical="top" wrapText="1"/>
    </x:xf>
    <x:xf numFmtId="203" fontId="10" fillId="0" borderId="0" xfId="0" applyNumberFormat="1" applyFont="1" applyFill="1" applyBorder="1" applyAlignment="1">
      <x:alignment vertical="top" wrapText="1"/>
    </x:xf>
    <x:xf numFmtId="203" fontId="10" fillId="0" borderId="1" xfId="0" applyNumberFormat="1" applyFont="1" applyFill="1" applyBorder="1" applyAlignment="1">
      <x:alignment vertical="top" wrapText="1"/>
    </x:xf>
    <x:xf numFmtId="204" fontId="10" fillId="0" borderId="0" xfId="0" applyNumberFormat="1" applyFont="1" applyFill="1" applyBorder="1" applyAlignment="1">
      <x:alignment vertical="top" wrapText="1"/>
    </x:xf>
    <x:xf numFmtId="204" fontId="10" fillId="0" borderId="1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/>
    <x:xf numFmtId="0" fontId="14" fillId="2" borderId="1" xfId="0" applyNumberFormat="1" applyFont="1" applyFill="1" applyBorder="1"/>
    <x:xf numFmtId="0" fontId="14" fillId="2" borderId="0" xfId="0" applyNumberFormat="1" applyFont="1" applyFill="1" applyBorder="1" applyAlignment="1">
      <x:alignment vertical="center"/>
    </x:xf>
    <x:xf numFmtId="0" fontId="14" fillId="2" borderId="1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200" fontId="9" fillId="6" borderId="18" xfId="0" applyNumberFormat="1" applyFont="1" applyFill="1" applyBorder="1"/>
    <x:xf numFmtId="200" fontId="9" fillId="6" borderId="20" xfId="0" applyNumberFormat="1" applyFont="1" applyFill="1" applyBorder="1"/>
    <x:xf numFmtId="200" fontId="9" fillId="6" borderId="22" xfId="0" applyNumberFormat="1" applyFont="1" applyFill="1" applyBorder="1"/>
    <x:xf numFmtId="200" fontId="9" fillId="6" borderId="23" xfId="0" applyNumberFormat="1" applyFont="1" applyFill="1" applyBorder="1"/>
    <x:xf numFmtId="200" fontId="9" fillId="6" borderId="25" xfId="0" applyNumberFormat="1" applyFont="1" applyFill="1" applyBorder="1"/>
    <x:xf numFmtId="200" fontId="9" fillId="6" borderId="27" xfId="0" applyNumberFormat="1" applyFont="1" applyFill="1" applyBorder="1"/>
    <x:xf numFmtId="0" fontId="9" fillId="5" borderId="7" xfId="0" applyNumberFormat="1" applyFont="1" applyFill="1" applyBorder="1"/>
    <x:xf numFmtId="0" fontId="9" fillId="5" borderId="21" xfId="0" applyNumberFormat="1" applyFont="1" applyFill="1" applyBorder="1"/>
    <x:xf numFmtId="0" fontId="9" fillId="5" borderId="2" xfId="0" applyNumberFormat="1" applyFont="1" applyFill="1" applyBorder="1"/>
    <x:xf numFmtId="0" fontId="9" fillId="5" borderId="15" xfId="0" applyNumberFormat="1" applyFont="1" applyFill="1" applyBorder="1"/>
    <x:xf numFmtId="0" fontId="9" fillId="5" borderId="26" xfId="0" applyNumberFormat="1" applyFont="1" applyFill="1" applyBorder="1"/>
    <x:xf numFmtId="0" fontId="9" fillId="5" borderId="10" xfId="0" applyNumberFormat="1" applyFont="1" applyFill="1" applyBorder="1"/>
    <x:xf numFmtId="0" fontId="15" fillId="5" borderId="7" xfId="0" applyNumberFormat="1" applyFont="1" applyFill="1" applyBorder="1"/>
    <x:xf numFmtId="0" fontId="15" fillId="5" borderId="21" xfId="0" applyNumberFormat="1" applyFont="1" applyFill="1" applyBorder="1"/>
    <x:xf numFmtId="0" fontId="15" fillId="5" borderId="2" xfId="0" applyNumberFormat="1" applyFont="1" applyFill="1" applyBorder="1"/>
    <x:xf numFmtId="0" fontId="15" fillId="5" borderId="15" xfId="0" applyNumberFormat="1" applyFont="1" applyFill="1" applyBorder="1"/>
    <x:xf numFmtId="0" fontId="15" fillId="5" borderId="26" xfId="0" applyNumberFormat="1" applyFont="1" applyFill="1" applyBorder="1"/>
    <x:xf numFmtId="0" fontId="15" fillId="5" borderId="10" xfId="0" applyNumberFormat="1" applyFont="1" applyFill="1" applyBorder="1"/>
    <x:xf numFmtId="0" fontId="15" fillId="5" borderId="7" xfId="0" applyNumberFormat="1" applyFont="1" applyFill="1" applyBorder="1" applyAlignment="1">
      <x:alignment horizontal="center"/>
    </x:xf>
    <x:xf numFmtId="0" fontId="15" fillId="5" borderId="21" xfId="0" applyNumberFormat="1" applyFont="1" applyFill="1" applyBorder="1" applyAlignment="1">
      <x:alignment horizontal="center"/>
    </x:xf>
    <x:xf numFmtId="0" fontId="15" fillId="5" borderId="2" xfId="0" applyNumberFormat="1" applyFont="1" applyFill="1" applyBorder="1" applyAlignment="1">
      <x:alignment horizontal="center"/>
    </x:xf>
    <x:xf numFmtId="0" fontId="15" fillId="5" borderId="15" xfId="0" applyNumberFormat="1" applyFont="1" applyFill="1" applyBorder="1" applyAlignment="1">
      <x:alignment horizontal="center"/>
    </x:xf>
    <x:xf numFmtId="0" fontId="15" fillId="5" borderId="26" xfId="0" applyNumberFormat="1" applyFont="1" applyFill="1" applyBorder="1" applyAlignment="1">
      <x:alignment horizontal="center"/>
    </x:xf>
    <x:xf numFmtId="0" fontId="15" fillId="5" borderId="10" xfId="0" applyNumberFormat="1" applyFont="1" applyFill="1" applyBorder="1" applyAlignment="1">
      <x:alignment horizontal="center"/>
    </x:xf>
    <x:xf numFmtId="0" fontId="16" fillId="5" borderId="0" xfId="0" applyNumberFormat="1" applyFont="1" applyFill="1" applyBorder="1"/>
    <x:xf numFmtId="0" fontId="16" fillId="5" borderId="1" xfId="0" applyNumberFormat="1" applyFont="1" applyFill="1" applyBorder="1"/>
    <x:xf numFmtId="0" fontId="16" fillId="5" borderId="2" xfId="0" applyNumberFormat="1" applyFont="1" applyFill="1" applyBorder="1"/>
    <x:xf numFmtId="0" fontId="16" fillId="5" borderId="3" xfId="0" applyNumberFormat="1" applyFont="1" applyFill="1" applyBorder="1"/>
    <x:xf numFmtId="0" fontId="16" fillId="5" borderId="4" xfId="0" applyNumberFormat="1" applyFont="1" applyFill="1" applyBorder="1"/>
    <x:xf numFmtId="0" fontId="16" fillId="5" borderId="7" xfId="0" applyNumberFormat="1" applyFont="1" applyFill="1" applyBorder="1"/>
    <x:xf numFmtId="0" fontId="16" fillId="5" borderId="8" xfId="0" applyNumberFormat="1" applyFont="1" applyFill="1" applyBorder="1"/>
    <x:xf numFmtId="0" fontId="16" fillId="5" borderId="9" xfId="0" applyNumberFormat="1" applyFont="1" applyFill="1" applyBorder="1"/>
    <x:xf numFmtId="0" fontId="16" fillId="5" borderId="10" xfId="0" applyNumberFormat="1" applyFont="1" applyFill="1" applyBorder="1"/>
    <x:xf numFmtId="0" fontId="16" fillId="5" borderId="11" xfId="0" applyNumberFormat="1" applyFont="1" applyFill="1" applyBorder="1"/>
    <x:xf numFmtId="0" fontId="16" fillId="5" borderId="12" xfId="0" applyNumberFormat="1" applyFont="1" applyFill="1" applyBorder="1"/>
    <x:xf numFmtId="0" fontId="16" fillId="5" borderId="15" xfId="0" applyNumberFormat="1" applyFont="1" applyFill="1" applyBorder="1"/>
    <x:xf numFmtId="0" fontId="16" fillId="5" borderId="16" xfId="0" applyNumberFormat="1" applyFont="1" applyFill="1" applyBorder="1"/>
    <x:xf numFmtId="0" fontId="16" fillId="5" borderId="17" xfId="0" applyNumberFormat="1" applyFont="1" applyFill="1" applyBorder="1"/>
    <x:xf numFmtId="0" fontId="16" fillId="5" borderId="2" xfId="0" applyNumberFormat="1" applyFont="1" applyFill="1" applyBorder="1" applyAlignment="1">
      <x:alignment horizontal="center"/>
    </x:xf>
    <x:xf numFmtId="0" fontId="16" fillId="5" borderId="3" xfId="0" applyNumberFormat="1" applyFont="1" applyFill="1" applyBorder="1" applyAlignment="1">
      <x:alignment horizontal="center"/>
    </x:xf>
    <x:xf numFmtId="0" fontId="16" fillId="5" borderId="4" xfId="0" applyNumberFormat="1" applyFont="1" applyFill="1" applyBorder="1" applyAlignment="1">
      <x:alignment horizontal="center"/>
    </x:xf>
    <x:xf numFmtId="0" fontId="16" fillId="5" borderId="7" xfId="0" applyNumberFormat="1" applyFont="1" applyFill="1" applyBorder="1" applyAlignment="1">
      <x:alignment horizontal="center"/>
    </x:xf>
    <x:xf numFmtId="0" fontId="16" fillId="5" borderId="8" xfId="0" applyNumberFormat="1" applyFont="1" applyFill="1" applyBorder="1" applyAlignment="1">
      <x:alignment horizontal="center"/>
    </x:xf>
    <x:xf numFmtId="0" fontId="16" fillId="5" borderId="9" xfId="0" applyNumberFormat="1" applyFont="1" applyFill="1" applyBorder="1" applyAlignment="1">
      <x:alignment horizontal="center"/>
    </x:xf>
    <x:xf numFmtId="0" fontId="16" fillId="5" borderId="10" xfId="0" applyNumberFormat="1" applyFont="1" applyFill="1" applyBorder="1" applyAlignment="1">
      <x:alignment horizontal="center"/>
    </x:xf>
    <x:xf numFmtId="0" fontId="16" fillId="5" borderId="11" xfId="0" applyNumberFormat="1" applyFont="1" applyFill="1" applyBorder="1" applyAlignment="1">
      <x:alignment horizontal="center"/>
    </x:xf>
    <x:xf numFmtId="0" fontId="16" fillId="5" borderId="12" xfId="0" applyNumberFormat="1" applyFont="1" applyFill="1" applyBorder="1" applyAlignment="1">
      <x:alignment horizontal="center"/>
    </x:xf>
    <x:xf numFmtId="0" fontId="16" fillId="5" borderId="15" xfId="0" applyNumberFormat="1" applyFont="1" applyFill="1" applyBorder="1" applyAlignment="1">
      <x:alignment horizontal="center"/>
    </x:xf>
    <x:xf numFmtId="0" fontId="16" fillId="5" borderId="16" xfId="0" applyNumberFormat="1" applyFont="1" applyFill="1" applyBorder="1" applyAlignment="1">
      <x:alignment horizontal="center"/>
    </x:xf>
    <x:xf numFmtId="0" fontId="16" fillId="5" borderId="17" xfId="0" applyNumberFormat="1" applyFont="1" applyFill="1" applyBorder="1" applyAlignment="1">
      <x:alignment horizontal="center"/>
    </x:xf>
    <x:xf numFmtId="0" fontId="16" fillId="5" borderId="2" xfId="0" applyNumberFormat="1" applyFont="1" applyFill="1" applyBorder="1" applyAlignment="1">
      <x:alignment horizontal="center" vertical="center"/>
    </x:xf>
    <x:xf numFmtId="0" fontId="16" fillId="5" borderId="3" xfId="0" applyNumberFormat="1" applyFont="1" applyFill="1" applyBorder="1" applyAlignment="1">
      <x:alignment horizontal="center" vertical="center"/>
    </x:xf>
    <x:xf numFmtId="0" fontId="16" fillId="5" borderId="4" xfId="0" applyNumberFormat="1" applyFont="1" applyFill="1" applyBorder="1" applyAlignment="1">
      <x:alignment horizontal="center" vertical="center"/>
    </x:xf>
    <x:xf numFmtId="0" fontId="16" fillId="5" borderId="7" xfId="0" applyNumberFormat="1" applyFont="1" applyFill="1" applyBorder="1" applyAlignment="1">
      <x:alignment horizontal="center" vertical="center"/>
    </x:xf>
    <x:xf numFmtId="0" fontId="16" fillId="5" borderId="8" xfId="0" applyNumberFormat="1" applyFont="1" applyFill="1" applyBorder="1" applyAlignment="1">
      <x:alignment horizontal="center" vertical="center"/>
    </x:xf>
    <x:xf numFmtId="0" fontId="16" fillId="5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d1567b6f3f4653" /><Relationship Type="http://schemas.openxmlformats.org/officeDocument/2006/relationships/theme" Target="/xl/theme/theme1.xml" Id="Rc1aaabec3a9f48d0" /><Relationship Type="http://schemas.openxmlformats.org/officeDocument/2006/relationships/sharedStrings" Target="/xl/sharedStrings.xml" Id="Re88b88ff96594f4f" /><Relationship Type="http://schemas.openxmlformats.org/officeDocument/2006/relationships/worksheet" Target="/xl/worksheets/sheet1.xml" Id="R515a09c390694261" /><Relationship Type="http://schemas.openxmlformats.org/officeDocument/2006/relationships/worksheet" Target="/xl/worksheets/sheet2.xml" Id="R072d1f4abd4142f2" /><Relationship Type="http://schemas.openxmlformats.org/officeDocument/2006/relationships/worksheet" Target="/xl/worksheets/sheet3.xml" Id="R93b0ee87fb174c4f" /><Relationship Type="http://schemas.openxmlformats.org/officeDocument/2006/relationships/worksheet" Target="/xl/worksheets/sheet4.xml" Id="R2f46268317814a65" /><Relationship Type="http://schemas.openxmlformats.org/officeDocument/2006/relationships/worksheet" Target="/xl/worksheets/sheet5.xml" Id="R47735402650547ea" /><Relationship Type="http://schemas.openxmlformats.org/officeDocument/2006/relationships/worksheet" Target="/xl/worksheets/sheet6.xml" Id="Radc2e89a41d64300" /><Relationship Type="http://schemas.openxmlformats.org/officeDocument/2006/relationships/worksheet" Target="/xl/worksheets/sheet7.xml" Id="Re95631fb0f9f4eb5" /><Relationship Type="http://schemas.openxmlformats.org/officeDocument/2006/relationships/worksheet" Target="/xl/worksheets/sheet8.xml" Id="Rc9e9f89c03f9457a" /><Relationship Type="http://schemas.openxmlformats.org/officeDocument/2006/relationships/worksheet" Target="/xl/worksheets/sheet9.xml" Id="R537a925d15034bbb" /><Relationship Type="http://schemas.openxmlformats.org/officeDocument/2006/relationships/worksheet" Target="/xl/worksheets/sheet10.xml" Id="Re50d7390c69a43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c6ead9d2ffe47e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Research-priority scores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Score</c:v>
          </c:tx>
          <c:cat>
            <c:strRef>
              <c:f>'Cover'!$A$16:$A$20</c:f>
              <c:strCache>
                <c:ptCount val="0"/>
              </c:strCache>
            </c:strRef>
          </c:cat>
          <c:val>
            <c:numRef>
              <c:f>'Cover'!$B$16:$B$20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14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6ead9d2ffe47e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4b88abfc722a47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24" hidden="0" customWidth="1"/>
    <x:col min="4" max="4" width="12" hidden="0" customWidth="1"/>
    <x:col min="5" max="5" width="12" hidden="0" customWidth="1"/>
    <x:col min="6" max="6" width="18" hidden="0" customWidth="1"/>
    <x:col min="7" max="7" width="16" hidden="0" customWidth="1"/>
    <x:col min="8" max="8" width="30" hidden="0" customWidth="1"/>
    <x:col min="9" max="9" width="10" hidden="0" customWidth="1"/>
    <x:col min="10" max="10" width="42" hidden="0" customWidth="1"/>
    <x:col min="11" max="11" width="15" hidden="0" customWidth="1"/>
    <x:col min="12" max="12" width="14" hidden="0" customWidth="1"/>
    <x:col min="13" max="13" width="18" hidden="0" customWidth="1"/>
  </x:cols>
  <x:sheetData>
    <x:row r="1" ht="34" customHeight="1">
      <x:c r="A1" s="124" t="str">
        <x:v>asset_id</x:v>
      </x:c>
      <x:c r="B1" s="125" t="str">
        <x:v>symbol</x:v>
      </x:c>
      <x:c r="C1" s="125" t="str">
        <x:v>name</x:v>
      </x:c>
      <x:c r="D1" s="125" t="str">
        <x:v>asset_type</x:v>
      </x:c>
      <x:c r="E1" s="125" t="str">
        <x:v>exchange</x:v>
      </x:c>
      <x:c r="F1" s="125" t="str">
        <x:v>country</x:v>
      </x:c>
      <x:c r="G1" s="125" t="str">
        <x:v>sector</x:v>
      </x:c>
      <x:c r="H1" s="125" t="str">
        <x:v>industry</x:v>
      </x:c>
      <x:c r="I1" s="125" t="str">
        <x:v>currency</x:v>
      </x:c>
      <x:c r="J1" s="125" t="str">
        <x:v>website</x:v>
      </x:c>
      <x:c r="K1" s="125" t="str">
        <x:v>stage</x:v>
      </x:c>
      <x:c r="L1" s="125" t="str">
        <x:v>added_date</x:v>
      </x:c>
      <x:c r="M1" s="126" t="str">
        <x:v>last_reviewed_date</x:v>
      </x:c>
    </x:row>
    <x:row r="2" ht="30" customHeight="1">
      <x:c r="A2" s="112" t="str">
        <x:v>gev</x:v>
      </x:c>
      <x:c r="B2" s="112" t="str">
        <x:v>GEV</x:v>
      </x:c>
      <x:c r="C2" s="112" t="str">
        <x:v>GE Vernova</x:v>
      </x:c>
      <x:c r="D2" s="112" t="str">
        <x:v>equity</x:v>
      </x:c>
      <x:c r="E2" s="112" t="str">
        <x:v>NYSE</x:v>
      </x:c>
      <x:c r="F2" s="112" t="str">
        <x:v>United States</x:v>
      </x:c>
      <x:c r="G2" s="112" t="str">
        <x:v>Industrials</x:v>
      </x:c>
      <x:c r="H2" s="112" t="str">
        <x:v>Electrical equipment and power systems</x:v>
      </x:c>
      <x:c r="I2" s="112" t="str">
        <x:v>USD</x:v>
      </x:c>
      <x:c r="J2" s="112" t="str">
        <x:v>https://www.gevernova.com/investors</x:v>
      </x:c>
      <x:c r="K2" s="112" t="str">
        <x:v>watchlist</x:v>
      </x:c>
      <x:c r="L2" s="112" t="str">
        <x:v>2026-07-18</x:v>
      </x:c>
      <x:c r="M2" s="112" t="str">
        <x:v>2026-07-18</x:v>
      </x:c>
    </x:row>
    <x:row r="3" ht="30" customHeight="1">
      <x:c r="A3" s="112" t="str">
        <x:v>vrt</x:v>
      </x:c>
      <x:c r="B3" s="112" t="str">
        <x:v>VRT</x:v>
      </x:c>
      <x:c r="C3" s="112" t="str">
        <x:v>Vertiv Holdings</x:v>
      </x:c>
      <x:c r="D3" s="112" t="str">
        <x:v>equity</x:v>
      </x:c>
      <x:c r="E3" s="112" t="str">
        <x:v>NYSE</x:v>
      </x:c>
      <x:c r="F3" s="112" t="str">
        <x:v>United States</x:v>
      </x:c>
      <x:c r="G3" s="112" t="str">
        <x:v>Industrials</x:v>
      </x:c>
      <x:c r="H3" s="112" t="str">
        <x:v>Critical digital infrastructure</x:v>
      </x:c>
      <x:c r="I3" s="112" t="str">
        <x:v>USD</x:v>
      </x:c>
      <x:c r="J3" s="112" t="str">
        <x:v>https://investors.vertiv.com/</x:v>
      </x:c>
      <x:c r="K3" s="112" t="str">
        <x:v>watchlist</x:v>
      </x:c>
      <x:c r="L3" s="112" t="str">
        <x:v>2026-07-18</x:v>
      </x:c>
      <x:c r="M3" s="112" t="str">
        <x:v>2026-07-18</x:v>
      </x:c>
    </x:row>
    <x:row r="4" ht="30" customHeight="1">
      <x:c r="A4" s="112" t="str">
        <x:v>crdo</x:v>
      </x:c>
      <x:c r="B4" s="112" t="str">
        <x:v>CRDO</x:v>
      </x:c>
      <x:c r="C4" s="112" t="str">
        <x:v>Credo Technology Group</x:v>
      </x:c>
      <x:c r="D4" s="112" t="str">
        <x:v>equity</x:v>
      </x:c>
      <x:c r="E4" s="112" t="str">
        <x:v>Nasdaq</x:v>
      </x:c>
      <x:c r="F4" s="112" t="str">
        <x:v>Cayman Islands</x:v>
      </x:c>
      <x:c r="G4" s="112" t="str">
        <x:v>Technology</x:v>
      </x:c>
      <x:c r="H4" s="112" t="str">
        <x:v>Semiconductors and connectivity</x:v>
      </x:c>
      <x:c r="I4" s="112" t="str">
        <x:v>USD</x:v>
      </x:c>
      <x:c r="J4" s="112" t="str">
        <x:v>https://investors.credosemi.com/</x:v>
      </x:c>
      <x:c r="K4" s="112" t="str">
        <x:v>researching</x:v>
      </x:c>
      <x:c r="L4" s="112" t="str">
        <x:v>2026-07-18</x:v>
      </x:c>
      <x:c r="M4" s="112" t="str">
        <x:v>2026-07-18</x:v>
      </x:c>
    </x:row>
    <x:row r="5" ht="30" customHeight="1">
      <x:c r="A5" s="112" t="str">
        <x:v>rklb</x:v>
      </x:c>
      <x:c r="B5" s="112" t="str">
        <x:v>RKLB</x:v>
      </x:c>
      <x:c r="C5" s="112" t="str">
        <x:v>Rocket Lab</x:v>
      </x:c>
      <x:c r="D5" s="112" t="str">
        <x:v>equity</x:v>
      </x:c>
      <x:c r="E5" s="112" t="str">
        <x:v>Nasdaq</x:v>
      </x:c>
      <x:c r="F5" s="112" t="str">
        <x:v>United States</x:v>
      </x:c>
      <x:c r="G5" s="112" t="str">
        <x:v>Industrials</x:v>
      </x:c>
      <x:c r="H5" s="112" t="str">
        <x:v>Aerospace and space systems</x:v>
      </x:c>
      <x:c r="I5" s="112" t="str">
        <x:v>USD</x:v>
      </x:c>
      <x:c r="J5" s="112" t="str">
        <x:v>https://investors.rocketlabcorp.com/</x:v>
      </x:c>
      <x:c r="K5" s="112" t="str">
        <x:v>researching</x:v>
      </x:c>
      <x:c r="L5" s="112" t="str">
        <x:v>2026-07-18</x:v>
      </x:c>
      <x:c r="M5" s="112" t="str">
        <x:v>2026-07-18</x:v>
      </x:c>
    </x:row>
    <x:row r="6" ht="30" customHeight="1">
      <x:c r="A6" s="112" t="str">
        <x:v>mp</x:v>
      </x:c>
      <x:c r="B6" s="112" t="str">
        <x:v>MP</x:v>
      </x:c>
      <x:c r="C6" s="112" t="str">
        <x:v>MP Materials</x:v>
      </x:c>
      <x:c r="D6" s="112" t="str">
        <x:v>equity</x:v>
      </x:c>
      <x:c r="E6" s="112" t="str">
        <x:v>NYSE</x:v>
      </x:c>
      <x:c r="F6" s="112" t="str">
        <x:v>United States</x:v>
      </x:c>
      <x:c r="G6" s="112" t="str">
        <x:v>Materials</x:v>
      </x:c>
      <x:c r="H6" s="112" t="str">
        <x:v>Rare earth mining and magnetics</x:v>
      </x:c>
      <x:c r="I6" s="112" t="str">
        <x:v>USD</x:v>
      </x:c>
      <x:c r="J6" s="112" t="str">
        <x:v>https://investors.mpmaterials.com/</x:v>
      </x:c>
      <x:c r="K6" s="112" t="str">
        <x:v>researching</x:v>
      </x:c>
      <x:c r="L6" s="112" t="str">
        <x:v>2026-07-18</x:v>
      </x:c>
      <x:c r="M6" s="112" t="str">
        <x:v>2026-07-18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64" hidden="0" customWidth="1"/>
    <x:col min="4" max="4" width="14" hidden="0" customWidth="1"/>
    <x:col min="5" max="5" width="16" hidden="0" customWidth="1"/>
    <x:col min="6" max="6" width="13" hidden="0" customWidth="1"/>
    <x:col min="7" max="7" width="14" hidden="0" customWidth="1"/>
    <x:col min="8" max="8" width="18" hidden="0" customWidth="1"/>
  </x:cols>
  <x:sheetData>
    <x:row r="1" ht="34" customHeight="1">
      <x:c r="A1" s="124" t="str">
        <x:v>theme_id</x:v>
      </x:c>
      <x:c r="B1" s="125" t="str">
        <x:v>name</x:v>
      </x:c>
      <x:c r="C1" s="125" t="str">
        <x:v>summary</x:v>
      </x:c>
      <x:c r="D1" s="125" t="str">
        <x:v>status</x:v>
      </x:c>
      <x:c r="E1" s="125" t="str">
        <x:v>time_horizon</x:v>
      </x:c>
      <x:c r="F1" s="125" t="str">
        <x:v>confidence</x:v>
      </x:c>
      <x:c r="G1" s="125" t="str">
        <x:v>created_date</x:v>
      </x:c>
      <x:c r="H1" s="126" t="str">
        <x:v>last_updated_date</x:v>
      </x:c>
    </x:row>
    <x:row r="2" ht="30" customHeight="1">
      <x:c r="A2" s="112" t="str">
        <x:v>age-of-electricity</x:v>
      </x:c>
      <x:c r="B2" s="112" t="str">
        <x:v>The Age of Electricity</x:v>
      </x:c>
      <x:c r="C2" s="112" t="str">
        <x:v>Electricity demand is reaccelerating as compute, cooling, electrification and industrial investment expand load.</x:v>
      </x:c>
      <x:c r="D2" s="112" t="str">
        <x:v>active</x:v>
      </x:c>
      <x:c r="E2" s="112" t="str">
        <x:v>10+ years</x:v>
      </x:c>
      <x:c r="F2" s="112" t="str">
        <x:v>high</x:v>
      </x:c>
      <x:c r="G2" s="112" t="str">
        <x:v>2026-07-18</x:v>
      </x:c>
      <x:c r="H2" s="112" t="str">
        <x:v>2026-07-18</x:v>
      </x:c>
    </x:row>
    <x:row r="3" ht="30" customHeight="1">
      <x:c r="A3" s="112" t="str">
        <x:v>ai-physical-infrastructure</x:v>
      </x:c>
      <x:c r="B3" s="112" t="str">
        <x:v>AI Physical Infrastructure</x:v>
      </x:c>
      <x:c r="C3" s="112" t="str">
        <x:v>Power generation, grids, transformers, switchgear, power management and cooling are becoming constraints on compute deployment.</x:v>
      </x:c>
      <x:c r="D3" s="112" t="str">
        <x:v>active</x:v>
      </x:c>
      <x:c r="E3" s="112" t="str">
        <x:v>5-10+ years</x:v>
      </x:c>
      <x:c r="F3" s="112" t="str">
        <x:v>high</x:v>
      </x:c>
      <x:c r="G3" s="112" t="str">
        <x:v>2026-07-18</x:v>
      </x:c>
      <x:c r="H3" s="112" t="str">
        <x:v>2026-07-18</x:v>
      </x:c>
    </x:row>
    <x:row r="4" ht="30" customHeight="1">
      <x:c r="A4" s="112" t="str">
        <x:v>high-speed-connectivity</x:v>
      </x:c>
      <x:c r="B4" s="112" t="str">
        <x:v>High-Speed Compute Connectivity</x:v>
      </x:c>
      <x:c r="C4" s="112" t="str">
        <x:v>AI clusters require faster and more power-efficient connectivity across copper, optical and semiconductor interconnects.</x:v>
      </x:c>
      <x:c r="D4" s="112" t="str">
        <x:v>active</x:v>
      </x:c>
      <x:c r="E4" s="112" t="str">
        <x:v>5-10 years</x:v>
      </x:c>
      <x:c r="F4" s="112" t="str">
        <x:v>medium</x:v>
      </x:c>
      <x:c r="G4" s="112" t="str">
        <x:v>2026-07-18</x:v>
      </x:c>
      <x:c r="H4" s="112" t="str">
        <x:v>2026-07-18</x:v>
      </x:c>
    </x:row>
    <x:row r="5" ht="30" customHeight="1">
      <x:c r="A5" s="112" t="str">
        <x:v>vertically-integrated-space</x:v>
      </x:c>
      <x:c r="B5" s="112" t="str">
        <x:v>Vertically Integrated Space</x:v>
      </x:c>
      <x:c r="C5" s="112" t="str">
        <x:v>Launch, spacecraft, spectrum and recurring services may consolidate into end-to-end space platforms.</x:v>
      </x:c>
      <x:c r="D5" s="112" t="str">
        <x:v>active</x:v>
      </x:c>
      <x:c r="E5" s="112" t="str">
        <x:v>10+ years</x:v>
      </x:c>
      <x:c r="F5" s="112" t="str">
        <x:v>medium</x:v>
      </x:c>
      <x:c r="G5" s="112" t="str">
        <x:v>2026-07-18</x:v>
      </x:c>
      <x:c r="H5" s="112" t="str">
        <x:v>2026-07-18</x:v>
      </x:c>
    </x:row>
    <x:row r="6" ht="30" customHeight="1">
      <x:c r="A6" s="112" t="str">
        <x:v>critical-minerals-security</x:v>
      </x:c>
      <x:c r="B6" s="112" t="str">
        <x:v>Critical Minerals Security</x:v>
      </x:c>
      <x:c r="C6" s="112" t="str">
        <x:v>Concentrated refining and magnet production create strategic bottlenecks and policy-supported diversification.</x:v>
      </x:c>
      <x:c r="D6" s="112" t="str">
        <x:v>active</x:v>
      </x:c>
      <x:c r="E6" s="112" t="str">
        <x:v>10+ years</x:v>
      </x:c>
      <x:c r="F6" s="112" t="str">
        <x:v>high</x:v>
      </x:c>
      <x:c r="G6" s="112" t="str">
        <x:v>2026-07-18</x:v>
      </x:c>
      <x:c r="H6" s="112" t="str">
        <x:v>2026-07-18</x:v>
      </x:c>
    </x:row>
    <x:row r="7" ht="30" customHeight="1">
      <x:c r="A7" s="112" t="str">
        <x:v>advanced-nuclear-enablers</x:v>
      </x:c>
      <x:c r="B7" s="112" t="str">
        <x:v>Advanced Nuclear Enablers</x:v>
      </x:c>
      <x:c r="C7" s="112" t="str">
        <x:v>Regulatory reform and electricity demand are reopening the reactor and nuclear-fuel-cycle opportunity, but commercial timing remains uncertain.</x:v>
      </x:c>
      <x:c r="D7" s="112" t="str">
        <x:v>monitoring</x:v>
      </x:c>
      <x:c r="E7" s="112" t="str">
        <x:v>10-20 years</x:v>
      </x:c>
      <x:c r="F7" s="112" t="str">
        <x:v>medium</x:v>
      </x:c>
      <x:c r="G7" s="112" t="str">
        <x:v>2026-07-18</x:v>
      </x:c>
      <x:c r="H7" s="112" t="str">
        <x:v>2026-07-18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14" hidden="0" customWidth="1"/>
    <x:col min="5" max="5" width="70" hidden="0" customWidth="1"/>
    <x:col min="6" max="6" width="18" hidden="0" customWidth="1"/>
  </x:cols>
  <x:sheetData>
    <x:row r="1" ht="34" customHeight="1">
      <x:c r="A1" s="124" t="str">
        <x:v>asset_id</x:v>
      </x:c>
      <x:c r="B1" s="125" t="str">
        <x:v>theme_id</x:v>
      </x:c>
      <x:c r="C1" s="125" t="str">
        <x:v>role</x:v>
      </x:c>
      <x:c r="D1" s="125" t="str">
        <x:v>relevance</x:v>
      </x:c>
      <x:c r="E1" s="125" t="str">
        <x:v>notes</x:v>
      </x:c>
      <x:c r="F1" s="126" t="str">
        <x:v>last_updated_date</x:v>
      </x:c>
    </x:row>
    <x:row r="2" ht="30" customHeight="1">
      <x:c r="A2" s="112" t="str">
        <x:v>gev</x:v>
      </x:c>
      <x:c r="B2" s="112" t="str">
        <x:v>age-of-electricity</x:v>
      </x:c>
      <x:c r="C2" s="112" t="str">
        <x:v>platform</x:v>
      </x:c>
      <x:c r="D2" s="112" t="str">
        <x:v>high</x:v>
      </x:c>
      <x:c r="E2" s="112" t="str">
        <x:v>Generation, grid equipment and installed-base services.</x:v>
      </x:c>
      <x:c r="F2" s="112" t="str">
        <x:v>2026-07-18</x:v>
      </x:c>
    </x:row>
    <x:row r="3" ht="30" customHeight="1">
      <x:c r="A3" s="112" t="str">
        <x:v>gev</x:v>
      </x:c>
      <x:c r="B3" s="112" t="str">
        <x:v>ai-physical-infrastructure</x:v>
      </x:c>
      <x:c r="C3" s="112" t="str">
        <x:v>enabler</x:v>
      </x:c>
      <x:c r="D3" s="112" t="str">
        <x:v>high</x:v>
      </x:c>
      <x:c r="E3" s="112" t="str">
        <x:v>Gas turbines, transformers and electrification systems support new data-centre load.</x:v>
      </x:c>
      <x:c r="F3" s="112" t="str">
        <x:v>2026-07-18</x:v>
      </x:c>
    </x:row>
    <x:row r="4" ht="30" customHeight="1">
      <x:c r="A4" s="112" t="str">
        <x:v>vrt</x:v>
      </x:c>
      <x:c r="B4" s="112" t="str">
        <x:v>ai-physical-infrastructure</x:v>
      </x:c>
      <x:c r="C4" s="112" t="str">
        <x:v>enabler</x:v>
      </x:c>
      <x:c r="D4" s="112" t="str">
        <x:v>high</x:v>
      </x:c>
      <x:c r="E4" s="112" t="str">
        <x:v>Power management, thermal management and deployment infrastructure inside data centres.</x:v>
      </x:c>
      <x:c r="F4" s="112" t="str">
        <x:v>2026-07-18</x:v>
      </x:c>
    </x:row>
    <x:row r="5" ht="30" customHeight="1">
      <x:c r="A5" s="112" t="str">
        <x:v>crdo</x:v>
      </x:c>
      <x:c r="B5" s="112" t="str">
        <x:v>high-speed-connectivity</x:v>
      </x:c>
      <x:c r="C5" s="112" t="str">
        <x:v>enabler</x:v>
      </x:c>
      <x:c r="D5" s="112" t="str">
        <x:v>high</x:v>
      </x:c>
      <x:c r="E5" s="112" t="str">
        <x:v>High-speed, lower-power connectivity for scale-out AI networks.</x:v>
      </x:c>
      <x:c r="F5" s="112" t="str">
        <x:v>2026-07-18</x:v>
      </x:c>
    </x:row>
    <x:row r="6" ht="30" customHeight="1">
      <x:c r="A6" s="112" t="str">
        <x:v>rklb</x:v>
      </x:c>
      <x:c r="B6" s="112" t="str">
        <x:v>vertically-integrated-space</x:v>
      </x:c>
      <x:c r="C6" s="112" t="str">
        <x:v>platform</x:v>
      </x:c>
      <x:c r="D6" s="112" t="str">
        <x:v>high</x:v>
      </x:c>
      <x:c r="E6" s="112" t="str">
        <x:v>Launch and space systems would combine with Iridium spectrum and recurring services if the transaction closes.</x:v>
      </x:c>
      <x:c r="F6" s="112" t="str">
        <x:v>2026-07-18</x:v>
      </x:c>
    </x:row>
    <x:row r="7" ht="30" customHeight="1">
      <x:c r="A7" s="112" t="str">
        <x:v>mp</x:v>
      </x:c>
      <x:c r="B7" s="112" t="str">
        <x:v>critical-minerals-security</x:v>
      </x:c>
      <x:c r="C7" s="112" t="str">
        <x:v>platform</x:v>
      </x:c>
      <x:c r="D7" s="112" t="str">
        <x:v>high</x:v>
      </x:c>
      <x:c r="E7" s="112" t="str">
        <x:v>US mine-to-magnet rare-earth chain with government price and offtake support.</x:v>
      </x:c>
      <x:c r="F7" s="112" t="str">
        <x:v>2026-07-18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2" hidden="0" customWidth="1"/>
    <x:col min="5" max="5" width="1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16" hidden="0" customWidth="1"/>
    <x:col min="12" max="12" width="18" hidden="0" customWidth="1"/>
    <x:col min="13" max="13" width="18" hidden="0" customWidth="1"/>
    <x:col min="14" max="14" width="22" hidden="0" customWidth="1"/>
    <x:col min="15" max="15" width="18" hidden="0" customWidth="1"/>
    <x:col min="16" max="16" width="66" hidden="0" customWidth="1"/>
  </x:cols>
  <x:sheetData>
    <x:row r="1" ht="34" customHeight="1">
      <x:c r="A1" s="124" t="str">
        <x:v>week_id</x:v>
      </x:c>
      <x:c r="B1" s="125" t="str">
        <x:v>as_of_date</x:v>
      </x:c>
      <x:c r="C1" s="125" t="str">
        <x:v>asset_id</x:v>
      </x:c>
      <x:c r="D1" s="125" t="str">
        <x:v>price</x:v>
      </x:c>
      <x:c r="E1" s="125" t="str">
        <x:v>currency</x:v>
      </x:c>
      <x:c r="F1" s="125" t="str">
        <x:v>market_cap</x:v>
      </x:c>
      <x:c r="G1" s="125" t="str">
        <x:v>enterprise_value</x:v>
      </x:c>
      <x:c r="H1" s="125" t="str">
        <x:v>revenue_ttm</x:v>
      </x:c>
      <x:c r="I1" s="125" t="str">
        <x:v>revenue_growth_yoy</x:v>
      </x:c>
      <x:c r="J1" s="125" t="str">
        <x:v>gross_margin</x:v>
      </x:c>
      <x:c r="K1" s="125" t="str">
        <x:v>operating_margin</x:v>
      </x:c>
      <x:c r="L1" s="125" t="str">
        <x:v>free_cash_flow_margin</x:v>
      </x:c>
      <x:c r="M1" s="125" t="str">
        <x:v>net_cash</x:v>
      </x:c>
      <x:c r="N1" s="125" t="str">
        <x:v>valuation_metric</x:v>
      </x:c>
      <x:c r="O1" s="125" t="str">
        <x:v>valuation_value</x:v>
      </x:c>
      <x:c r="P1" s="126" t="str">
        <x:v>data_quality</x:v>
      </x:c>
    </x:row>
    <x:row r="2" ht="30" customHeight="1">
      <x:c r="A2" s="112" t="str">
        <x:v>2026-W29</x:v>
      </x:c>
      <x:c r="B2" s="112" t="str">
        <x:v>2026-07-18</x:v>
      </x:c>
      <x:c r="C2" s="112" t="str">
        <x:v>gev</x:v>
      </x:c>
      <x:c r="D2" s="140" t="str">
        <x:v>1057.84</x:v>
      </x:c>
      <x:c r="E2" s="112" t="str">
        <x:v>USD</x:v>
      </x:c>
      <x:c r="F2" s="142" t="str">
        <x:v>284270000000</x:v>
      </x:c>
      <x:c r="G2" s="142" t="str"/>
      <x:c r="H2" s="142" t="str"/>
      <x:c r="I2" s="144" t="str">
        <x:v>0.16</x:v>
      </x:c>
      <x:c r="J2" s="144" t="str"/>
      <x:c r="K2" s="144" t="str"/>
      <x:c r="L2" s="144" t="str"/>
      <x:c r="M2" s="142" t="str"/>
      <x:c r="N2" s="112" t="str">
        <x:v>market_cap_usd</x:v>
      </x:c>
      <x:c r="O2" s="142" t="str">
        <x:v>284270000000</x:v>
      </x:c>
      <x:c r="P2" s="112" t="str">
        <x:v>mixed: price and market cap are third-party snapshots; operating data are issuer-reported</x:v>
      </x:c>
    </x:row>
    <x:row r="3" ht="30" customHeight="1">
      <x:c r="A3" s="112" t="str">
        <x:v>2026-W29</x:v>
      </x:c>
      <x:c r="B3" s="112" t="str">
        <x:v>2026-07-18</x:v>
      </x:c>
      <x:c r="C3" s="112" t="str">
        <x:v>vrt</x:v>
      </x:c>
      <x:c r="D3" s="140" t="str">
        <x:v>289.56</x:v>
      </x:c>
      <x:c r="E3" s="112" t="str">
        <x:v>USD</x:v>
      </x:c>
      <x:c r="F3" s="142" t="str">
        <x:v>112970000000</x:v>
      </x:c>
      <x:c r="G3" s="142" t="str"/>
      <x:c r="H3" s="142" t="str"/>
      <x:c r="I3" s="144" t="str">
        <x:v>0.3</x:v>
      </x:c>
      <x:c r="J3" s="144" t="str"/>
      <x:c r="K3" s="144" t="str">
        <x:v>0.166</x:v>
      </x:c>
      <x:c r="L3" s="144" t="str"/>
      <x:c r="M3" s="142" t="str"/>
      <x:c r="N3" s="112" t="str">
        <x:v>market_cap_usd</x:v>
      </x:c>
      <x:c r="O3" s="142" t="str">
        <x:v>112970000000</x:v>
      </x:c>
      <x:c r="P3" s="112" t="str">
        <x:v>mixed: price and market cap are third-party snapshots; operating data are issuer-reported</x:v>
      </x:c>
    </x:row>
    <x:row r="4" ht="30" customHeight="1">
      <x:c r="A4" s="112" t="str">
        <x:v>2026-W29</x:v>
      </x:c>
      <x:c r="B4" s="112" t="str">
        <x:v>2026-07-18</x:v>
      </x:c>
      <x:c r="C4" s="112" t="str">
        <x:v>crdo</x:v>
      </x:c>
      <x:c r="D4" s="140" t="str">
        <x:v>206</x:v>
      </x:c>
      <x:c r="E4" s="112" t="str">
        <x:v>USD</x:v>
      </x:c>
      <x:c r="F4" s="142" t="str">
        <x:v>38410000000</x:v>
      </x:c>
      <x:c r="G4" s="142" t="str"/>
      <x:c r="H4" s="142" t="str">
        <x:v>1335116000</x:v>
      </x:c>
      <x:c r="I4" s="144" t="str">
        <x:v>2.057</x:v>
      </x:c>
      <x:c r="J4" s="144" t="str"/>
      <x:c r="K4" s="144" t="str"/>
      <x:c r="L4" s="144" t="str"/>
      <x:c r="M4" s="142" t="str">
        <x:v>1400000000</x:v>
      </x:c>
      <x:c r="N4" s="112" t="str">
        <x:v>market_cap_usd</x:v>
      </x:c>
      <x:c r="O4" s="142" t="str">
        <x:v>38410000000</x:v>
      </x:c>
      <x:c r="P4" s="112" t="str">
        <x:v>mixed: 2026-07-16 market snapshot; FY2026 financial data are SEC-filed</x:v>
      </x:c>
    </x:row>
    <x:row r="5" ht="30" customHeight="1">
      <x:c r="A5" s="112" t="str">
        <x:v>2026-W29</x:v>
      </x:c>
      <x:c r="B5" s="112" t="str">
        <x:v>2026-07-18</x:v>
      </x:c>
      <x:c r="C5" s="112" t="str">
        <x:v>rklb</x:v>
      </x:c>
      <x:c r="D5" s="140" t="str">
        <x:v>67.62</x:v>
      </x:c>
      <x:c r="E5" s="112" t="str">
        <x:v>USD</x:v>
      </x:c>
      <x:c r="F5" s="142" t="str">
        <x:v>42000000000</x:v>
      </x:c>
      <x:c r="G5" s="142" t="str"/>
      <x:c r="H5" s="142" t="str"/>
      <x:c r="I5" s="144" t="str">
        <x:v>0.635</x:v>
      </x:c>
      <x:c r="J5" s="144" t="str">
        <x:v>0.382</x:v>
      </x:c>
      <x:c r="K5" s="144" t="str"/>
      <x:c r="L5" s="144" t="str"/>
      <x:c r="M5" s="142" t="str">
        <x:v>1333351000</x:v>
      </x:c>
      <x:c r="N5" s="112" t="str">
        <x:v>market_cap_usd</x:v>
      </x:c>
      <x:c r="O5" s="142" t="str">
        <x:v>42000000000</x:v>
      </x:c>
      <x:c r="P5" s="112" t="str">
        <x:v>mixed: market cap is an approximate third-party snapshot; financial data are SEC-filed</x:v>
      </x:c>
    </x:row>
    <x:row r="6" ht="30" customHeight="1">
      <x:c r="A6" s="112" t="str">
        <x:v>2026-W29</x:v>
      </x:c>
      <x:c r="B6" s="112" t="str">
        <x:v>2026-07-18</x:v>
      </x:c>
      <x:c r="C6" s="112" t="str">
        <x:v>mp</x:v>
      </x:c>
      <x:c r="D6" s="140" t="str">
        <x:v>57.55</x:v>
      </x:c>
      <x:c r="E6" s="112" t="str">
        <x:v>USD</x:v>
      </x:c>
      <x:c r="F6" s="142" t="str">
        <x:v>8090000000</x:v>
      </x:c>
      <x:c r="G6" s="142" t="str"/>
      <x:c r="H6" s="142" t="str"/>
      <x:c r="I6" s="144" t="str">
        <x:v>0.49</x:v>
      </x:c>
      <x:c r="J6" s="144" t="str"/>
      <x:c r="K6" s="144" t="str"/>
      <x:c r="L6" s="144" t="str"/>
      <x:c r="M6" s="142" t="str">
        <x:v>1738335000</x:v>
      </x:c>
      <x:c r="N6" s="112" t="str">
        <x:v>market_cap_usd</x:v>
      </x:c>
      <x:c r="O6" s="142" t="str">
        <x:v>8090000000</x:v>
      </x:c>
      <x:c r="P6" s="112" t="str">
        <x:v>mixed: price and market cap are third-party snapshots; financial data are SEC-filed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0" hidden="0" customWidth="1"/>
    <x:col min="6" max="6" width="16" hidden="0" customWidth="1"/>
    <x:col min="7" max="7" width="14" hidden="0" customWidth="1"/>
    <x:col min="8" max="8" width="18" hidden="0" customWidth="1"/>
    <x:col min="9" max="9" width="18" hidden="0" customWidth="1"/>
    <x:col min="10" max="10" width="14" hidden="0" customWidth="1"/>
    <x:col min="11" max="11" width="18" hidden="0" customWidth="1"/>
    <x:col min="12" max="12" width="18" hidden="0" customWidth="1"/>
    <x:col min="13" max="13" width="13" hidden="0" customWidth="1"/>
    <x:col min="14" max="14" width="18" hidden="0" customWidth="1"/>
    <x:col min="15" max="15" width="18" hidden="0" customWidth="1"/>
    <x:col min="16" max="16" width="58" hidden="0" customWidth="1"/>
    <x:col min="17" max="17" width="68" hidden="0" customWidth="1"/>
  </x:cols>
  <x:sheetData>
    <x:row r="1" ht="34" customHeight="1">
      <x:c r="A1" s="124" t="str">
        <x:v>week_id</x:v>
      </x:c>
      <x:c r="B1" s="125" t="str">
        <x:v>as_of_date</x:v>
      </x:c>
      <x:c r="C1" s="125" t="str">
        <x:v>asset_id</x:v>
      </x:c>
      <x:c r="D1" s="125" t="str">
        <x:v>market_runway</x:v>
      </x:c>
      <x:c r="E1" s="125" t="str">
        <x:v>moat</x:v>
      </x:c>
      <x:c r="F1" s="125" t="str">
        <x:v>product_evidence</x:v>
      </x:c>
      <x:c r="G1" s="125" t="str">
        <x:v>management</x:v>
      </x:c>
      <x:c r="H1" s="125" t="str">
        <x:v>growth_economics</x:v>
      </x:c>
      <x:c r="I1" s="125" t="str">
        <x:v>financial_strength</x:v>
      </x:c>
      <x:c r="J1" s="125" t="str">
        <x:v>optionality</x:v>
      </x:c>
      <x:c r="K1" s="125" t="str">
        <x:v>valuation_asymmetry</x:v>
      </x:c>
      <x:c r="L1" s="125" t="str">
        <x:v>risk_falsifiability</x:v>
      </x:c>
      <x:c r="M1" s="125" t="str">
        <x:v>total_score</x:v>
      </x:c>
      <x:c r="N1" s="125" t="str">
        <x:v>evidence_quality</x:v>
      </x:c>
      <x:c r="O1" s="125" t="str">
        <x:v>thesis_confidence</x:v>
      </x:c>
      <x:c r="P1" s="125" t="str">
        <x:v>most_important_uncertainty</x:v>
      </x:c>
      <x:c r="Q1" s="126" t="str">
        <x:v>next_checkpoint</x:v>
      </x:c>
    </x:row>
    <x:row r="2" ht="30" customHeight="1">
      <x:c r="A2" s="112" t="str">
        <x:v>2026-W29</x:v>
      </x:c>
      <x:c r="B2" s="112" t="str">
        <x:v>2026-07-18</x:v>
      </x:c>
      <x:c r="C2" s="112" t="str">
        <x:v>gev</x:v>
      </x:c>
      <x:c r="D2" s="130" t="str">
        <x:v>15</x:v>
      </x:c>
      <x:c r="E2" s="130" t="str">
        <x:v>13</x:v>
      </x:c>
      <x:c r="F2" s="130" t="str">
        <x:v>9</x:v>
      </x:c>
      <x:c r="G2" s="130" t="str">
        <x:v>8</x:v>
      </x:c>
      <x:c r="H2" s="130" t="str">
        <x:v>12</x:v>
      </x:c>
      <x:c r="I2" s="130" t="str">
        <x:v>9</x:v>
      </x:c>
      <x:c r="J2" s="130" t="str">
        <x:v>7</x:v>
      </x:c>
      <x:c r="K2" s="138" t="str">
        <x:v>1</x:v>
      </x:c>
      <x:c r="L2" s="130" t="str">
        <x:v>4</x:v>
      </x:c>
      <x:c r="M2" s="134" t="n">
        <x:f>VALUE(D2)+VALUE(E2)+VALUE(F2)+VALUE(G2)+VALUE(H2)+VALUE(I2)+VALUE(J2)+VALUE(K2)+VALUE(L2)</x:f>
        <x:v>78</x:v>
      </x:c>
      <x:c r="N2" s="112" t="str">
        <x:v>high</x:v>
      </x:c>
      <x:c r="O2" s="112" t="str">
        <x:v>medium</x:v>
      </x:c>
      <x:c r="P2" s="112" t="str">
        <x:v>How much of the extraordinary order strength becomes durable high-margin cash flow?</x:v>
      </x:c>
      <x:c r="Q2" s="112" t="str">
        <x:v>Q2 2026 segment orders, backlog margin and data-centre order composition</x:v>
      </x:c>
    </x:row>
    <x:row r="3" ht="30" customHeight="1">
      <x:c r="A3" s="112" t="str">
        <x:v>2026-W29</x:v>
      </x:c>
      <x:c r="B3" s="112" t="str">
        <x:v>2026-07-18</x:v>
      </x:c>
      <x:c r="C3" s="112" t="str">
        <x:v>vrt</x:v>
      </x:c>
      <x:c r="D3" s="130" t="str">
        <x:v>14</x:v>
      </x:c>
      <x:c r="E3" s="130" t="str">
        <x:v>12</x:v>
      </x:c>
      <x:c r="F3" s="130" t="str">
        <x:v>9</x:v>
      </x:c>
      <x:c r="G3" s="130" t="str">
        <x:v>8</x:v>
      </x:c>
      <x:c r="H3" s="130" t="str">
        <x:v>14</x:v>
      </x:c>
      <x:c r="I3" s="130" t="str">
        <x:v>9</x:v>
      </x:c>
      <x:c r="J3" s="130" t="str">
        <x:v>7</x:v>
      </x:c>
      <x:c r="K3" s="138" t="str">
        <x:v>1</x:v>
      </x:c>
      <x:c r="L3" s="130" t="str">
        <x:v>4</x:v>
      </x:c>
      <x:c r="M3" s="134" t="n">
        <x:f>VALUE(D3)+VALUE(E3)+VALUE(F3)+VALUE(G3)+VALUE(H3)+VALUE(I3)+VALUE(J3)+VALUE(K3)+VALUE(L3)</x:f>
        <x:v>78</x:v>
      </x:c>
      <x:c r="N3" s="112" t="str">
        <x:v>high</x:v>
      </x:c>
      <x:c r="O3" s="112" t="str">
        <x:v>medium</x:v>
      </x:c>
      <x:c r="P3" s="112" t="str">
        <x:v>Can capacity expansion preserve margins and service quality as demand scales?</x:v>
      </x:c>
      <x:c r="Q3" s="112" t="str">
        <x:v>Q2 2026 organic orders, book-to-bill, backlog and cancellation commentary</x:v>
      </x:c>
    </x:row>
    <x:row r="4" ht="30" customHeight="1">
      <x:c r="A4" s="112" t="str">
        <x:v>2026-W29</x:v>
      </x:c>
      <x:c r="B4" s="112" t="str">
        <x:v>2026-07-18</x:v>
      </x:c>
      <x:c r="C4" s="112" t="str">
        <x:v>crdo</x:v>
      </x:c>
      <x:c r="D4" s="130" t="str">
        <x:v>13</x:v>
      </x:c>
      <x:c r="E4" s="130" t="str">
        <x:v>10</x:v>
      </x:c>
      <x:c r="F4" s="130" t="str">
        <x:v>8</x:v>
      </x:c>
      <x:c r="G4" s="130" t="str">
        <x:v>7</x:v>
      </x:c>
      <x:c r="H4" s="130" t="str">
        <x:v>14</x:v>
      </x:c>
      <x:c r="I4" s="130" t="str">
        <x:v>9</x:v>
      </x:c>
      <x:c r="J4" s="130" t="str">
        <x:v>8</x:v>
      </x:c>
      <x:c r="K4" s="138" t="str">
        <x:v>1</x:v>
      </x:c>
      <x:c r="L4" s="130" t="str">
        <x:v>3</x:v>
      </x:c>
      <x:c r="M4" s="134" t="n">
        <x:f>VALUE(D4)+VALUE(E4)+VALUE(F4)+VALUE(G4)+VALUE(H4)+VALUE(I4)+VALUE(J4)+VALUE(K4)+VALUE(L4)</x:f>
        <x:v>73</x:v>
      </x:c>
      <x:c r="N4" s="112" t="str">
        <x:v>high</x:v>
      </x:c>
      <x:c r="O4" s="112" t="str">
        <x:v>low</x:v>
      </x:c>
      <x:c r="P4" s="112" t="str">
        <x:v>Can customer concentration fall without a material growth or margin reset?</x:v>
      </x:c>
      <x:c r="Q4" s="112" t="str">
        <x:v>Fiscal Q1 2027 customer mix, AEC diversification and share-based compensation</x:v>
      </x:c>
    </x:row>
    <x:row r="5" ht="30" customHeight="1">
      <x:c r="A5" s="112" t="str">
        <x:v>2026-W29</x:v>
      </x:c>
      <x:c r="B5" s="112" t="str">
        <x:v>2026-07-18</x:v>
      </x:c>
      <x:c r="C5" s="112" t="str">
        <x:v>rklb</x:v>
      </x:c>
      <x:c r="D5" s="130" t="str">
        <x:v>15</x:v>
      </x:c>
      <x:c r="E5" s="130" t="str">
        <x:v>10</x:v>
      </x:c>
      <x:c r="F5" s="130" t="str">
        <x:v>8</x:v>
      </x:c>
      <x:c r="G5" s="130" t="str">
        <x:v>9</x:v>
      </x:c>
      <x:c r="H5" s="130" t="str">
        <x:v>9</x:v>
      </x:c>
      <x:c r="I5" s="130" t="str">
        <x:v>7</x:v>
      </x:c>
      <x:c r="J5" s="130" t="str">
        <x:v>10</x:v>
      </x:c>
      <x:c r="K5" s="138" t="str">
        <x:v>1</x:v>
      </x:c>
      <x:c r="L5" s="130" t="str">
        <x:v>3</x:v>
      </x:c>
      <x:c r="M5" s="134" t="n">
        <x:f>VALUE(D5)+VALUE(E5)+VALUE(F5)+VALUE(G5)+VALUE(H5)+VALUE(I5)+VALUE(J5)+VALUE(K5)+VALUE(L5)</x:f>
        <x:v>72</x:v>
      </x:c>
      <x:c r="N5" s="112" t="str">
        <x:v>high</x:v>
      </x:c>
      <x:c r="O5" s="112" t="str">
        <x:v>low</x:v>
      </x:c>
      <x:c r="P5" s="112" t="str">
        <x:v>Does the Iridium transaction create more per-share value than financing and integration consume?</x:v>
      </x:c>
      <x:c r="Q5" s="112" t="str">
        <x:v>Form S-4, permanent financing plan, Neutron milestones and transaction approvals</x:v>
      </x:c>
    </x:row>
    <x:row r="6" ht="30" customHeight="1">
      <x:c r="A6" s="112" t="str">
        <x:v>2026-W29</x:v>
      </x:c>
      <x:c r="B6" s="112" t="str">
        <x:v>2026-07-18</x:v>
      </x:c>
      <x:c r="C6" s="112" t="str">
        <x:v>mp</x:v>
      </x:c>
      <x:c r="D6" s="130" t="str">
        <x:v>12</x:v>
      </x:c>
      <x:c r="E6" s="130" t="str">
        <x:v>11</x:v>
      </x:c>
      <x:c r="F6" s="130" t="str">
        <x:v>8</x:v>
      </x:c>
      <x:c r="G6" s="130" t="str">
        <x:v>8</x:v>
      </x:c>
      <x:c r="H6" s="130" t="str">
        <x:v>8</x:v>
      </x:c>
      <x:c r="I6" s="130" t="str">
        <x:v>9</x:v>
      </x:c>
      <x:c r="J6" s="130" t="str">
        <x:v>8</x:v>
      </x:c>
      <x:c r="K6" s="138" t="str">
        <x:v>4</x:v>
      </x:c>
      <x:c r="L6" s="130" t="str">
        <x:v>4</x:v>
      </x:c>
      <x:c r="M6" s="134" t="n">
        <x:f>VALUE(D6)+VALUE(E6)+VALUE(F6)+VALUE(G6)+VALUE(H6)+VALUE(I6)+VALUE(J6)+VALUE(K6)+VALUE(L6)</x:f>
        <x:v>72</x:v>
      </x:c>
      <x:c r="N6" s="112" t="str">
        <x:v>high</x:v>
      </x:c>
      <x:c r="O6" s="112" t="str">
        <x:v>medium</x:v>
      </x:c>
      <x:c r="P6" s="112" t="str">
        <x:v>Can magnetics earn attractive returns beyond government guarantees and price protection?</x:v>
      </x:c>
      <x:c r="Q6" s="112" t="str">
        <x:v>10X construction budget, Independence yields, customer qualification and ex-support economics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8" hidden="0" customWidth="1"/>
    <x:col min="7" max="7" width="64" hidden="0" customWidth="1"/>
    <x:col min="8" max="8" width="64" hidden="0" customWidth="1"/>
    <x:col min="9" max="9" width="64" hidden="0" customWidth="1"/>
    <x:col min="10" max="10" width="20" hidden="0" customWidth="1"/>
    <x:col min="11" max="11" width="64" hidden="0" customWidth="1"/>
    <x:col min="12" max="12" width="18" hidden="0" customWidth="1"/>
  </x:cols>
  <x:sheetData>
    <x:row r="1" ht="34" customHeight="1">
      <x:c r="A1" s="124" t="str">
        <x:v>update_id</x:v>
      </x:c>
      <x:c r="B1" s="125" t="str">
        <x:v>as_of_date</x:v>
      </x:c>
      <x:c r="C1" s="125" t="str">
        <x:v>week_id</x:v>
      </x:c>
      <x:c r="D1" s="125" t="str">
        <x:v>asset_id</x:v>
      </x:c>
      <x:c r="E1" s="125" t="str">
        <x:v>change_type</x:v>
      </x:c>
      <x:c r="F1" s="125" t="str">
        <x:v>thesis_status</x:v>
      </x:c>
      <x:c r="G1" s="125" t="str">
        <x:v>summary</x:v>
      </x:c>
      <x:c r="H1" s="125" t="str">
        <x:v>evidence_for</x:v>
      </x:c>
      <x:c r="I1" s="125" t="str">
        <x:v>evidence_against</x:v>
      </x:c>
      <x:c r="J1" s="125" t="str">
        <x:v>kill_criterion_status</x:v>
      </x:c>
      <x:c r="K1" s="125" t="str">
        <x:v>next_question</x:v>
      </x:c>
      <x:c r="L1" s="126" t="str">
        <x:v>author</x:v>
      </x:c>
    </x:row>
    <x:row r="2" ht="44" customHeight="1">
      <x:c r="A2" s="112" t="str">
        <x:v>tu-2026-w29-gev-baseline</x:v>
      </x:c>
      <x:c r="B2" s="112" t="str">
        <x:v>2026-07-18</x:v>
      </x:c>
      <x:c r="C2" s="112" t="str">
        <x:v>2026-W29</x:v>
      </x:c>
      <x:c r="D2" s="112" t="str">
        <x:v>gev</x:v>
      </x:c>
      <x:c r="E2" s="112" t="str">
        <x:v>baseline</x:v>
      </x:c>
      <x:c r="F2" s="112" t="str">
        <x:v>watchlist</x:v>
      </x:c>
      <x:c r="G2" s="112" t="str">
        <x:v>Power and electrification demand is strongly confirmed; valuation leaves little room for ordinary execution.</x:v>
      </x:c>
      <x:c r="H2" s="112" t="str">
        <x:v>Q1 orders rose 71% organically and backlog reached $163B.</x:v>
      </x:c>
      <x:c r="I2" s="112" t="str">
        <x:v>Wind is expected to lose about $400M of segment EBITDA in 2026 and the market cap is roughly $284B.</x:v>
      </x:c>
      <x:c r="J2" s="112" t="str">
        <x:v>not_tested</x:v>
      </x:c>
      <x:c r="K2" s="112" t="str">
        <x:v>What portion of data-centre orders is repeatable and what margins are embedded in backlog?</x:v>
      </x:c>
      <x:c r="L2" s="112" t="str">
        <x:v>Investo Master</x:v>
      </x:c>
    </x:row>
    <x:row r="3" ht="44" customHeight="1">
      <x:c r="A3" s="112" t="str">
        <x:v>tu-2026-w29-vrt-baseline</x:v>
      </x:c>
      <x:c r="B3" s="112" t="str">
        <x:v>2026-07-18</x:v>
      </x:c>
      <x:c r="C3" s="112" t="str">
        <x:v>2026-W29</x:v>
      </x:c>
      <x:c r="D3" s="112" t="str">
        <x:v>vrt</x:v>
      </x:c>
      <x:c r="E3" s="112" t="str">
        <x:v>baseline</x:v>
      </x:c>
      <x:c r="F3" s="112" t="str">
        <x:v>watchlist</x:v>
      </x:c>
      <x:c r="G3" s="112" t="str">
        <x:v>Vertiv is a direct AI infrastructure beneficiary with accelerating sales and cash flow; the present valuation is demanding.</x:v>
      </x:c>
      <x:c r="H3" s="112" t="str">
        <x:v>Q1 sales rose 30%; full-year organic growth guidance is 29%-31%.</x:v>
      </x:c>
      <x:c r="I3" s="112" t="str">
        <x:v>Order cancellation, capacity execution and a roughly $113B market value reduce asymmetry.</x:v>
      </x:c>
      <x:c r="J3" s="112" t="str">
        <x:v>not_tested</x:v>
      </x:c>
      <x:c r="K3" s="112" t="str">
        <x:v>How durable is the present book-to-bill after customer build plans normalise?</x:v>
      </x:c>
      <x:c r="L3" s="112" t="str">
        <x:v>Investo Master</x:v>
      </x:c>
    </x:row>
    <x:row r="4" ht="44" customHeight="1">
      <x:c r="A4" s="112" t="str">
        <x:v>tu-2026-w29-crdo-baseline</x:v>
      </x:c>
      <x:c r="B4" s="112" t="str">
        <x:v>2026-07-18</x:v>
      </x:c>
      <x:c r="C4" s="112" t="str">
        <x:v>2026-W29</x:v>
      </x:c>
      <x:c r="D4" s="112" t="str">
        <x:v>crdo</x:v>
      </x:c>
      <x:c r="E4" s="112" t="str">
        <x:v>baseline</x:v>
      </x:c>
      <x:c r="F4" s="112" t="str">
        <x:v>researching</x:v>
      </x:c>
      <x:c r="G4" s="112" t="str">
        <x:v>Credo has outstanding growth and attractive connectivity economics, but its revenue base is unusually concentrated.</x:v>
      </x:c>
      <x:c r="H4" s="112" t="str">
        <x:v>FY2026 revenue rose to $1.335B and operating cash flow reached $464M.</x:v>
      </x:c>
      <x:c r="I4" s="112" t="str">
        <x:v>Two customers represented 81% of revenue; share-based compensation was $183M.</x:v>
      </x:c>
      <x:c r="J4" s="112" t="str">
        <x:v>not_tested</x:v>
      </x:c>
      <x:c r="K4" s="112" t="str">
        <x:v>Which products and customers can make the growth base genuinely diversified?</x:v>
      </x:c>
      <x:c r="L4" s="112" t="str">
        <x:v>Investo Master</x:v>
      </x:c>
    </x:row>
    <x:row r="5" ht="44" customHeight="1">
      <x:c r="A5" s="112" t="str">
        <x:v>tu-2026-w29-rklb-baseline</x:v>
      </x:c>
      <x:c r="B5" s="112" t="str">
        <x:v>2026-07-18</x:v>
      </x:c>
      <x:c r="C5" s="112" t="str">
        <x:v>2026-W29</x:v>
      </x:c>
      <x:c r="D5" s="112" t="str">
        <x:v>rklb</x:v>
      </x:c>
      <x:c r="E5" s="112" t="str">
        <x:v>baseline</x:v>
      </x:c>
      <x:c r="F5" s="112" t="str">
        <x:v>researching</x:v>
      </x:c>
      <x:c r="G5" s="112" t="str">
        <x:v>Rocket Lab could become an end-to-end space platform, but the Iridium transaction changes the underwriting problem.</x:v>
      </x:c>
      <x:c r="H5" s="112" t="str">
        <x:v>Q1 revenue grew 63.5%, backlog exceeded $2.2B, and Iridium adds spectrum and 2.55M subscribers.</x:v>
      </x:c>
      <x:c r="I5" s="112" t="str">
        <x:v>Rocket Lab remains loss-making; the deal uses cash, stock and a $3.6B bridge facility while Neutron is unproven.</x:v>
      </x:c>
      <x:c r="J5" s="112" t="str">
        <x:v>not_tested</x:v>
      </x:c>
      <x:c r="K5" s="112" t="str">
        <x:v>What is the fully financed per-share return distribution after the Iridium transaction?</x:v>
      </x:c>
      <x:c r="L5" s="112" t="str">
        <x:v>Investo Master</x:v>
      </x:c>
    </x:row>
    <x:row r="6" ht="44" customHeight="1">
      <x:c r="A6" s="112" t="str">
        <x:v>tu-2026-w29-mp-baseline</x:v>
      </x:c>
      <x:c r="B6" s="112" t="str">
        <x:v>2026-07-18</x:v>
      </x:c>
      <x:c r="C6" s="112" t="str">
        <x:v>2026-W29</x:v>
      </x:c>
      <x:c r="D6" s="112" t="str">
        <x:v>mp</x:v>
      </x:c>
      <x:c r="E6" s="112" t="str">
        <x:v>baseline</x:v>
      </x:c>
      <x:c r="F6" s="112" t="str">
        <x:v>researching</x:v>
      </x:c>
      <x:c r="G6" s="112" t="str">
        <x:v>MP is a strategically scarce mine-to-magnet platform with improving production, but economics are intertwined with policy support.</x:v>
      </x:c>
      <x:c r="H6" s="112" t="str">
        <x:v>NdPr production rose 63% and sales volume 117%; 10X has long-term government support.</x:v>
      </x:c>
      <x:c r="I6" s="112" t="str">
        <x:v>Q1 included $42.3M of price-protection income and the company still reported a net loss.</x:v>
      </x:c>
      <x:c r="J6" s="112" t="str">
        <x:v>not_tested</x:v>
      </x:c>
      <x:c r="K6" s="112" t="str">
        <x:v>What returns can the magnet chain earn without the price floor and EBITDA guarantee?</x:v>
      </x:c>
      <x:c r="L6" s="112" t="str">
        <x:v>Investo Master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28" hidden="0" customWidth="1"/>
    <x:col min="5" max="5" width="22" hidden="0" customWidth="1"/>
    <x:col min="6" max="6" width="54" hidden="0" customWidth="1"/>
    <x:col min="7" max="7" width="28" hidden="0" customWidth="1"/>
    <x:col min="8" max="8" width="16" hidden="0" customWidth="1"/>
    <x:col min="9" max="9" width="16" hidden="0" customWidth="1"/>
    <x:col min="10" max="10" width="64" hidden="0" customWidth="1"/>
    <x:col min="11" max="11" width="13" hidden="0" customWidth="1"/>
    <x:col min="12" max="12" width="14" hidden="0" customWidth="1"/>
    <x:col min="13" max="13" width="70" hidden="0" customWidth="1"/>
    <x:col min="14" max="14" width="14" hidden="0" customWidth="1"/>
  </x:cols>
  <x:sheetData>
    <x:row r="1" ht="34" customHeight="1">
      <x:c r="A1" s="124" t="str">
        <x:v>source_id</x:v>
      </x:c>
      <x:c r="B1" s="125" t="str">
        <x:v>as_of_date</x:v>
      </x:c>
      <x:c r="C1" s="125" t="str">
        <x:v>asset_id</x:v>
      </x:c>
      <x:c r="D1" s="125" t="str">
        <x:v>theme_id</x:v>
      </x:c>
      <x:c r="E1" s="125" t="str">
        <x:v>source_type</x:v>
      </x:c>
      <x:c r="F1" s="125" t="str">
        <x:v>title</x:v>
      </x:c>
      <x:c r="G1" s="125" t="str">
        <x:v>publisher</x:v>
      </x:c>
      <x:c r="H1" s="125" t="str">
        <x:v>published_at</x:v>
      </x:c>
      <x:c r="I1" s="125" t="str">
        <x:v>accessed_at</x:v>
      </x:c>
      <x:c r="J1" s="125" t="str">
        <x:v>url</x:v>
      </x:c>
      <x:c r="K1" s="125" t="str">
        <x:v>is_primary</x:v>
      </x:c>
      <x:c r="L1" s="125" t="str">
        <x:v>stance</x:v>
      </x:c>
      <x:c r="M1" s="125" t="str">
        <x:v>claim</x:v>
      </x:c>
      <x:c r="N1" s="126" t="str">
        <x:v>reliability</x:v>
      </x:c>
    </x:row>
    <x:row r="2" ht="44" customHeight="1">
      <x:c r="A2" s="112" t="str">
        <x:v>src-2026-w29-fed</x:v>
      </x:c>
      <x:c r="B2" s="112" t="str">
        <x:v>2026-07-18</x:v>
      </x:c>
      <x:c r="C2" s="112" t="str"/>
      <x:c r="D2" s="112" t="str">
        <x:v>age-of-electricity</x:v>
      </x:c>
      <x:c r="E2" s="112" t="str">
        <x:v>central_bank</x:v>
      </x:c>
      <x:c r="F2" s="112" t="str">
        <x:v>Federal Reserve issues FOMC statement</x:v>
      </x:c>
      <x:c r="G2" s="112" t="str">
        <x:v>Federal Reserve</x:v>
      </x:c>
      <x:c r="H2" s="112" t="str">
        <x:v>2026-06-17</x:v>
      </x:c>
      <x:c r="I2" s="112" t="str">
        <x:v>2026-07-18</x:v>
      </x:c>
      <x:c r="J2" s="112" t="str">
        <x:v>https://www.federalreserve.gov/newsevents/pressreleases/monetary20260617a.htm</x:v>
      </x:c>
      <x:c r="K2" s="112" t="str">
        <x:v>true</x:v>
      </x:c>
      <x:c r="L2" s="112" t="str">
        <x:v>context</x:v>
      </x:c>
      <x:c r="M2" s="112" t="str">
        <x:v>The target federal-funds range remained 3.50%-3.75%.</x:v>
      </x:c>
      <x:c r="N2" s="112" t="str">
        <x:v>high</x:v>
      </x:c>
    </x:row>
    <x:row r="3" ht="44" customHeight="1">
      <x:c r="A3" s="112" t="str">
        <x:v>src-2026-w29-cpi</x:v>
      </x:c>
      <x:c r="B3" s="112" t="str">
        <x:v>2026-07-18</x:v>
      </x:c>
      <x:c r="C3" s="112" t="str"/>
      <x:c r="D3" s="112" t="str">
        <x:v>age-of-electricity</x:v>
      </x:c>
      <x:c r="E3" s="112" t="str">
        <x:v>government_data</x:v>
      </x:c>
      <x:c r="F3" s="112" t="str">
        <x:v>Consumer Price Index — June 2026</x:v>
      </x:c>
      <x:c r="G3" s="112" t="str">
        <x:v>US Bureau of Labor Statistics</x:v>
      </x:c>
      <x:c r="H3" s="112" t="str">
        <x:v>2026-07-14</x:v>
      </x:c>
      <x:c r="I3" s="112" t="str">
        <x:v>2026-07-18</x:v>
      </x:c>
      <x:c r="J3" s="112" t="str">
        <x:v>https://www.bls.gov/news.release/archives/cpi_07142026.htm</x:v>
      </x:c>
      <x:c r="K3" s="112" t="str">
        <x:v>true</x:v>
      </x:c>
      <x:c r="L3" s="112" t="str">
        <x:v>context</x:v>
      </x:c>
      <x:c r="M3" s="112" t="str">
        <x:v>Headline CPI was 3.5% year over year and core CPI 2.6%.</x:v>
      </x:c>
      <x:c r="N3" s="112" t="str">
        <x:v>high</x:v>
      </x:c>
    </x:row>
    <x:row r="4" ht="44" customHeight="1">
      <x:c r="A4" s="112" t="str">
        <x:v>src-2026-w29-jobs</x:v>
      </x:c>
      <x:c r="B4" s="112" t="str">
        <x:v>2026-07-18</x:v>
      </x:c>
      <x:c r="C4" s="112" t="str"/>
      <x:c r="D4" s="112" t="str">
        <x:v>age-of-electricity</x:v>
      </x:c>
      <x:c r="E4" s="112" t="str">
        <x:v>government_data</x:v>
      </x:c>
      <x:c r="F4" s="112" t="str">
        <x:v>Employment Situation — June 2026</x:v>
      </x:c>
      <x:c r="G4" s="112" t="str">
        <x:v>US Bureau of Labor Statistics</x:v>
      </x:c>
      <x:c r="H4" s="112" t="str">
        <x:v>2026-07-02</x:v>
      </x:c>
      <x:c r="I4" s="112" t="str">
        <x:v>2026-07-18</x:v>
      </x:c>
      <x:c r="J4" s="112" t="str">
        <x:v>https://www.bls.gov/news.release/archives/empsit_07022026.htm</x:v>
      </x:c>
      <x:c r="K4" s="112" t="str">
        <x:v>true</x:v>
      </x:c>
      <x:c r="L4" s="112" t="str">
        <x:v>context</x:v>
      </x:c>
      <x:c r="M4" s="112" t="str">
        <x:v>Payrolls rose 57,000 and unemployment was 4.2%.</x:v>
      </x:c>
      <x:c r="N4" s="112" t="str">
        <x:v>high</x:v>
      </x:c>
    </x:row>
    <x:row r="5" ht="44" customHeight="1">
      <x:c r="A5" s="112" t="str">
        <x:v>src-2026-w29-iea-electricity</x:v>
      </x:c>
      <x:c r="B5" s="112" t="str">
        <x:v>2026-07-18</x:v>
      </x:c>
      <x:c r="C5" s="112" t="str"/>
      <x:c r="D5" s="112" t="str">
        <x:v>age-of-electricity</x:v>
      </x:c>
      <x:c r="E5" s="112" t="str">
        <x:v>official_research</x:v>
      </x:c>
      <x:c r="F5" s="112" t="str">
        <x:v>Electricity 2026 — Executive Summary</x:v>
      </x:c>
      <x:c r="G5" s="112" t="str">
        <x:v>International Energy Agency</x:v>
      </x:c>
      <x:c r="H5" s="112" t="str">
        <x:v>2026-01-01</x:v>
      </x:c>
      <x:c r="I5" s="112" t="str">
        <x:v>2026-07-18</x:v>
      </x:c>
      <x:c r="J5" s="112" t="str">
        <x:v>https://www.iea.org/reports/electricity-2026/executive-summary</x:v>
      </x:c>
      <x:c r="K5" s="112" t="str">
        <x:v>true</x:v>
      </x:c>
      <x:c r="L5" s="112" t="str">
        <x:v>supports</x:v>
      </x:c>
      <x:c r="M5" s="112" t="str">
        <x:v>Global electricity demand is forecast to grow 3.6% annually through 2030; data centres drive roughly half of US demand growth.</x:v>
      </x:c>
      <x:c r="N5" s="112" t="str">
        <x:v>high</x:v>
      </x:c>
    </x:row>
    <x:row r="6" ht="44" customHeight="1">
      <x:c r="A6" s="112" t="str">
        <x:v>src-2026-w29-eia-aeo</x:v>
      </x:c>
      <x:c r="B6" s="112" t="str">
        <x:v>2026-07-18</x:v>
      </x:c>
      <x:c r="C6" s="112" t="str"/>
      <x:c r="D6" s="112" t="str">
        <x:v>ai-physical-infrastructure</x:v>
      </x:c>
      <x:c r="E6" s="112" t="str">
        <x:v>government_forecast</x:v>
      </x:c>
      <x:c r="F6" s="112" t="str">
        <x:v>Annual Energy Outlook 2026</x:v>
      </x:c>
      <x:c r="G6" s="112" t="str">
        <x:v>US Energy Information Administration</x:v>
      </x:c>
      <x:c r="H6" s="112" t="str">
        <x:v>2026-04-01</x:v>
      </x:c>
      <x:c r="I6" s="112" t="str">
        <x:v>2026-07-18</x:v>
      </x:c>
      <x:c r="J6" s="112" t="str">
        <x:v>https://www.eia.gov/outlooks/aeo/pdf/AEO_Narrative.pdf</x:v>
      </x:c>
      <x:c r="K6" s="112" t="str">
        <x:v>true</x:v>
      </x:c>
      <x:c r="L6" s="112" t="str">
        <x:v>supports</x:v>
      </x:c>
      <x:c r="M6" s="112" t="str">
        <x:v>Data-centre server energy use is an important driver of US electricity-demand growth.</x:v>
      </x:c>
      <x:c r="N6" s="112" t="str">
        <x:v>high</x:v>
      </x:c>
    </x:row>
    <x:row r="7" ht="44" customHeight="1">
      <x:c r="A7" s="112" t="str">
        <x:v>src-2026-w29-gev-q1</x:v>
      </x:c>
      <x:c r="B7" s="112" t="str">
        <x:v>2026-07-18</x:v>
      </x:c>
      <x:c r="C7" s="112" t="str">
        <x:v>gev</x:v>
      </x:c>
      <x:c r="D7" s="112" t="str">
        <x:v>ai-physical-infrastructure</x:v>
      </x:c>
      <x:c r="E7" s="112" t="str">
        <x:v>issuer_results</x:v>
      </x:c>
      <x:c r="F7" s="112" t="str">
        <x:v>GE Vernova reports first-quarter 2026 results</x:v>
      </x:c>
      <x:c r="G7" s="112" t="str">
        <x:v>GE Vernova</x:v>
      </x:c>
      <x:c r="H7" s="112" t="str">
        <x:v>2026-04-22</x:v>
      </x:c>
      <x:c r="I7" s="112" t="str">
        <x:v>2026-07-18</x:v>
      </x:c>
      <x:c r="J7" s="112" t="str">
        <x:v>https://www.gevernova.com/news/press-releases/ge-vernova-reports-first-quarter-2026-financial</x:v>
      </x:c>
      <x:c r="K7" s="112" t="str">
        <x:v>true</x:v>
      </x:c>
      <x:c r="L7" s="112" t="str">
        <x:v>supports</x:v>
      </x:c>
      <x:c r="M7" s="112" t="str">
        <x:v>Orders were $18.3B, backlog $163B and data-centre electrification equipment orders $2.4B.</x:v>
      </x:c>
      <x:c r="N7" s="112" t="str">
        <x:v>high</x:v>
      </x:c>
    </x:row>
    <x:row r="8" ht="44" customHeight="1">
      <x:c r="A8" s="112" t="str">
        <x:v>src-2026-w29-gev-10q</x:v>
      </x:c>
      <x:c r="B8" s="112" t="str">
        <x:v>2026-07-18</x:v>
      </x:c>
      <x:c r="C8" s="112" t="str">
        <x:v>gev</x:v>
      </x:c>
      <x:c r="D8" s="112" t="str">
        <x:v>age-of-electricity</x:v>
      </x:c>
      <x:c r="E8" s="112" t="str">
        <x:v>regulatory_filing</x:v>
      </x:c>
      <x:c r="F8" s="112" t="str">
        <x:v>GE Vernova Form 10-Q for March 2026</x:v>
      </x:c>
      <x:c r="G8" s="112" t="str">
        <x:v>US SEC</x:v>
      </x:c>
      <x:c r="H8" s="112" t="str">
        <x:v>2026-04-22</x:v>
      </x:c>
      <x:c r="I8" s="112" t="str">
        <x:v>2026-07-18</x:v>
      </x:c>
      <x:c r="J8" s="112" t="str">
        <x:v>https://www.sec.gov/Archives/edgar/data/1996810/000199681026000064/gev-20260331.htm</x:v>
      </x:c>
      <x:c r="K8" s="112" t="str">
        <x:v>true</x:v>
      </x:c>
      <x:c r="L8" s="112" t="str">
        <x:v>context</x:v>
      </x:c>
      <x:c r="M8" s="112" t="str">
        <x:v>The filing confirms segment performance and the continuing losses in Wind.</x:v>
      </x:c>
      <x:c r="N8" s="112" t="str">
        <x:v>high</x:v>
      </x:c>
    </x:row>
    <x:row r="9" ht="44" customHeight="1">
      <x:c r="A9" s="112" t="str">
        <x:v>src-2026-w29-vrt-q1</x:v>
      </x:c>
      <x:c r="B9" s="112" t="str">
        <x:v>2026-07-18</x:v>
      </x:c>
      <x:c r="C9" s="112" t="str">
        <x:v>vrt</x:v>
      </x:c>
      <x:c r="D9" s="112" t="str">
        <x:v>ai-physical-infrastructure</x:v>
      </x:c>
      <x:c r="E9" s="112" t="str">
        <x:v>issuer_results</x:v>
      </x:c>
      <x:c r="F9" s="112" t="str">
        <x:v>Vertiv reports first-quarter 2026 results</x:v>
      </x:c>
      <x:c r="G9" s="112" t="str">
        <x:v>Vertiv</x:v>
      </x:c>
      <x:c r="H9" s="112" t="str">
        <x:v>2026-04-22</x:v>
      </x:c>
      <x:c r="I9" s="112" t="str">
        <x:v>2026-07-18</x:v>
      </x:c>
      <x:c r="J9" s="112" t="str">
        <x:v>https://investors.vertiv.com/news/news-details/2026/Vertiv-Reports-Strong-First-Quarter-with-Diluted-EPS-Growth-of-136-Adjusted-Diluted-EPS-Growth-of-83-Raises-Full-Year-Guidance/default.aspx</x:v>
      </x:c>
      <x:c r="K9" s="112" t="str">
        <x:v>true</x:v>
      </x:c>
      <x:c r="L9" s="112" t="str">
        <x:v>supports</x:v>
      </x:c>
      <x:c r="M9" s="112" t="str">
        <x:v>Q1 sales rose 30%; full-year organic sales growth guidance was raised to 29%-31%.</x:v>
      </x:c>
      <x:c r="N9" s="112" t="str">
        <x:v>high</x:v>
      </x:c>
    </x:row>
    <x:row r="10" ht="44" customHeight="1">
      <x:c r="A10" s="112" t="str">
        <x:v>src-2026-w29-vrt-10q</x:v>
      </x:c>
      <x:c r="B10" s="112" t="str">
        <x:v>2026-07-18</x:v>
      </x:c>
      <x:c r="C10" s="112" t="str">
        <x:v>vrt</x:v>
      </x:c>
      <x:c r="D10" s="112" t="str">
        <x:v>ai-physical-infrastructure</x:v>
      </x:c>
      <x:c r="E10" s="112" t="str">
        <x:v>regulatory_filing</x:v>
      </x:c>
      <x:c r="F10" s="112" t="str">
        <x:v>Vertiv Form 10-Q for March 2026</x:v>
      </x:c>
      <x:c r="G10" s="112" t="str">
        <x:v>US SEC</x:v>
      </x:c>
      <x:c r="H10" s="112" t="str">
        <x:v>2026-04-24</x:v>
      </x:c>
      <x:c r="I10" s="112" t="str">
        <x:v>2026-07-18</x:v>
      </x:c>
      <x:c r="J10" s="112" t="str">
        <x:v>https://www.sec.gov/Archives/edgar/data/1674101/000162828026026556/vrt-20260331.htm</x:v>
      </x:c>
      <x:c r="K10" s="112" t="str">
        <x:v>true</x:v>
      </x:c>
      <x:c r="L10" s="112" t="str">
        <x:v>challenges</x:v>
      </x:c>
      <x:c r="M10" s="112" t="str">
        <x:v>The filing identifies cancellation, fixed-price, capacity and customer-spending risks.</x:v>
      </x:c>
      <x:c r="N10" s="112" t="str">
        <x:v>high</x:v>
      </x:c>
    </x:row>
    <x:row r="11" ht="44" customHeight="1">
      <x:c r="A11" s="112" t="str">
        <x:v>src-2026-w29-crdo-results</x:v>
      </x:c>
      <x:c r="B11" s="112" t="str">
        <x:v>2026-07-18</x:v>
      </x:c>
      <x:c r="C11" s="112" t="str">
        <x:v>crdo</x:v>
      </x:c>
      <x:c r="D11" s="112" t="str">
        <x:v>high-speed-connectivity</x:v>
      </x:c>
      <x:c r="E11" s="112" t="str">
        <x:v>issuer_results</x:v>
      </x:c>
      <x:c r="F11" s="112" t="str">
        <x:v>Credo reports fourth-quarter and fiscal 2026 results</x:v>
      </x:c>
      <x:c r="G11" s="112" t="str">
        <x:v>Credo Technology</x:v>
      </x:c>
      <x:c r="H11" s="112" t="str">
        <x:v>2026-06-01</x:v>
      </x:c>
      <x:c r="I11" s="112" t="str">
        <x:v>2026-07-18</x:v>
      </x:c>
      <x:c r="J11" s="112" t="str">
        <x:v>https://investors.credosemi.com/news-events/news/news-details/2026/Credo-Technology-Group-Holding-Ltd-Reports-Fourth-Quarter-and-Fiscal-Year-2026-Financial-Results/default.aspx</x:v>
      </x:c>
      <x:c r="K11" s="112" t="str">
        <x:v>true</x:v>
      </x:c>
      <x:c r="L11" s="112" t="str">
        <x:v>supports</x:v>
      </x:c>
      <x:c r="M11" s="112" t="str">
        <x:v>Q4 revenue grew 157% year over year with a 68.2% GAAP gross margin.</x:v>
      </x:c>
      <x:c r="N11" s="112" t="str">
        <x:v>high</x:v>
      </x:c>
    </x:row>
    <x:row r="12" ht="44" customHeight="1">
      <x:c r="A12" s="112" t="str">
        <x:v>src-2026-w29-crdo-10k</x:v>
      </x:c>
      <x:c r="B12" s="112" t="str">
        <x:v>2026-07-18</x:v>
      </x:c>
      <x:c r="C12" s="112" t="str">
        <x:v>crdo</x:v>
      </x:c>
      <x:c r="D12" s="112" t="str">
        <x:v>high-speed-connectivity</x:v>
      </x:c>
      <x:c r="E12" s="112" t="str">
        <x:v>regulatory_filing</x:v>
      </x:c>
      <x:c r="F12" s="112" t="str">
        <x:v>Credo Form 10-K for fiscal 2026</x:v>
      </x:c>
      <x:c r="G12" s="112" t="str">
        <x:v>US SEC</x:v>
      </x:c>
      <x:c r="H12" s="112" t="str">
        <x:v>2026-06-16</x:v>
      </x:c>
      <x:c r="I12" s="112" t="str">
        <x:v>2026-07-18</x:v>
      </x:c>
      <x:c r="J12" s="112" t="str">
        <x:v>https://www.sec.gov/Archives/edgar/data/1807794/000162828026043303/crdo-20260502.htm</x:v>
      </x:c>
      <x:c r="K12" s="112" t="str">
        <x:v>true</x:v>
      </x:c>
      <x:c r="L12" s="112" t="str">
        <x:v>challenges</x:v>
      </x:c>
      <x:c r="M12" s="112" t="str">
        <x:v>Two customers represented 49% and 32% of FY2026 revenue; share-based compensation was $182.6M.</x:v>
      </x:c>
      <x:c r="N12" s="112" t="str">
        <x:v>high</x:v>
      </x:c>
    </x:row>
    <x:row r="13" ht="44" customHeight="1">
      <x:c r="A13" s="112" t="str">
        <x:v>src-2026-w29-rklb-q1</x:v>
      </x:c>
      <x:c r="B13" s="112" t="str">
        <x:v>2026-07-18</x:v>
      </x:c>
      <x:c r="C13" s="112" t="str">
        <x:v>rklb</x:v>
      </x:c>
      <x:c r="D13" s="112" t="str">
        <x:v>vertically-integrated-space</x:v>
      </x:c>
      <x:c r="E13" s="112" t="str">
        <x:v>issuer_results</x:v>
      </x:c>
      <x:c r="F13" s="112" t="str">
        <x:v>Rocket Lab reports first-quarter 2026 results</x:v>
      </x:c>
      <x:c r="G13" s="112" t="str">
        <x:v>Rocket Lab</x:v>
      </x:c>
      <x:c r="H13" s="112" t="str">
        <x:v>2026-05-07</x:v>
      </x:c>
      <x:c r="I13" s="112" t="str">
        <x:v>2026-07-18</x:v>
      </x:c>
      <x:c r="J13" s="112" t="str">
        <x:v>https://investors.rocketlabcorp.com/news-releases/news-release-details/rocket-lab-announces-first-quarter-2026-financial-results</x:v>
      </x:c>
      <x:c r="K13" s="112" t="str">
        <x:v>true</x:v>
      </x:c>
      <x:c r="L13" s="112" t="str">
        <x:v>supports</x:v>
      </x:c>
      <x:c r="M13" s="112" t="str">
        <x:v>Q1 revenue was $200.3M and backlog exceeded $2.2B.</x:v>
      </x:c>
      <x:c r="N13" s="112" t="str">
        <x:v>high</x:v>
      </x:c>
    </x:row>
    <x:row r="14" ht="44" customHeight="1">
      <x:c r="A14" s="112" t="str">
        <x:v>src-2026-w29-rklb-10q</x:v>
      </x:c>
      <x:c r="B14" s="112" t="str">
        <x:v>2026-07-18</x:v>
      </x:c>
      <x:c r="C14" s="112" t="str">
        <x:v>rklb</x:v>
      </x:c>
      <x:c r="D14" s="112" t="str">
        <x:v>vertically-integrated-space</x:v>
      </x:c>
      <x:c r="E14" s="112" t="str">
        <x:v>regulatory_filing</x:v>
      </x:c>
      <x:c r="F14" s="112" t="str">
        <x:v>Rocket Lab Form 10-Q for March 2026</x:v>
      </x:c>
      <x:c r="G14" s="112" t="str">
        <x:v>US SEC</x:v>
      </x:c>
      <x:c r="H14" s="112" t="str">
        <x:v>2026-05-07</x:v>
      </x:c>
      <x:c r="I14" s="112" t="str">
        <x:v>2026-07-18</x:v>
      </x:c>
      <x:c r="J14" s="112" t="str">
        <x:v>https://www.sec.gov/Archives/edgar/data/1819994/000181999426000028/rklb-20260331.htm</x:v>
      </x:c>
      <x:c r="K14" s="112" t="str">
        <x:v>true</x:v>
      </x:c>
      <x:c r="L14" s="112" t="str">
        <x:v>challenges</x:v>
      </x:c>
      <x:c r="M14" s="112" t="str">
        <x:v>Q1 net loss was $45.0M, operating cash outflow $50.3M and ATM proceeds $445.6M.</x:v>
      </x:c>
      <x:c r="N14" s="112" t="str">
        <x:v>high</x:v>
      </x:c>
    </x:row>
    <x:row r="15" ht="44" customHeight="1">
      <x:c r="A15" s="112" t="str">
        <x:v>src-2026-w29-rklb-iridium</x:v>
      </x:c>
      <x:c r="B15" s="112" t="str">
        <x:v>2026-07-18</x:v>
      </x:c>
      <x:c r="C15" s="112" t="str">
        <x:v>rklb</x:v>
      </x:c>
      <x:c r="D15" s="112" t="str">
        <x:v>vertically-integrated-space</x:v>
      </x:c>
      <x:c r="E15" s="112" t="str">
        <x:v>regulatory_filing</x:v>
      </x:c>
      <x:c r="F15" s="112" t="str">
        <x:v>Rocket Lab Form 8-K — Iridium merger agreement</x:v>
      </x:c>
      <x:c r="G15" s="112" t="str">
        <x:v>US SEC</x:v>
      </x:c>
      <x:c r="H15" s="112" t="str">
        <x:v>2026-06-29</x:v>
      </x:c>
      <x:c r="I15" s="112" t="str">
        <x:v>2026-07-18</x:v>
      </x:c>
      <x:c r="J15" s="112" t="str">
        <x:v>https://www.sec.gov/Archives/edgar/data/1819994/000175392626001085/g085783_8k.htm</x:v>
      </x:c>
      <x:c r="K15" s="112" t="str">
        <x:v>true</x:v>
      </x:c>
      <x:c r="L15" s="112" t="str">
        <x:v>context</x:v>
      </x:c>
      <x:c r="M15" s="112" t="str">
        <x:v>Rocket Lab agreed to acquire Iridium for cash and stock and obtained a $3.6B bridge commitment.</x:v>
      </x:c>
      <x:c r="N15" s="112" t="str">
        <x:v>high</x:v>
      </x:c>
    </x:row>
    <x:row r="16" ht="44" customHeight="1">
      <x:c r="A16" s="112" t="str">
        <x:v>src-2026-w29-rklb-iridium-release</x:v>
      </x:c>
      <x:c r="B16" s="112" t="str">
        <x:v>2026-07-18</x:v>
      </x:c>
      <x:c r="C16" s="112" t="str">
        <x:v>rklb</x:v>
      </x:c>
      <x:c r="D16" s="112" t="str">
        <x:v>vertically-integrated-space</x:v>
      </x:c>
      <x:c r="E16" s="112" t="str">
        <x:v>issuer_release</x:v>
      </x:c>
      <x:c r="F16" s="112" t="str">
        <x:v>Rocket Lab to acquire Iridium</x:v>
      </x:c>
      <x:c r="G16" s="112" t="str">
        <x:v>Rocket Lab and Iridium</x:v>
      </x:c>
      <x:c r="H16" s="112" t="str">
        <x:v>2026-06-29</x:v>
      </x:c>
      <x:c r="I16" s="112" t="str">
        <x:v>2026-07-18</x:v>
      </x:c>
      <x:c r="J16" s="112" t="str">
        <x:v>https://www.sec.gov/Archives/edgar/data/1819994/000175392626001085/g085783_ex99-1.htm</x:v>
      </x:c>
      <x:c r="K16" s="112" t="str">
        <x:v>true</x:v>
      </x:c>
      <x:c r="L16" s="112" t="str">
        <x:v>supports</x:v>
      </x:c>
      <x:c r="M16" s="112" t="str">
        <x:v>Iridium adds 2.55M subscribers, L-band spectrum and an existing service network.</x:v>
      </x:c>
      <x:c r="N16" s="112" t="str">
        <x:v>high</x:v>
      </x:c>
    </x:row>
    <x:row r="17" ht="44" customHeight="1">
      <x:c r="A17" s="112" t="str">
        <x:v>src-2026-w29-mp-q1</x:v>
      </x:c>
      <x:c r="B17" s="112" t="str">
        <x:v>2026-07-18</x:v>
      </x:c>
      <x:c r="C17" s="112" t="str">
        <x:v>mp</x:v>
      </x:c>
      <x:c r="D17" s="112" t="str">
        <x:v>critical-minerals-security</x:v>
      </x:c>
      <x:c r="E17" s="112" t="str">
        <x:v>issuer_results</x:v>
      </x:c>
      <x:c r="F17" s="112" t="str">
        <x:v>MP Materials reports first-quarter 2026 results</x:v>
      </x:c>
      <x:c r="G17" s="112" t="str">
        <x:v>MP Materials</x:v>
      </x:c>
      <x:c r="H17" s="112" t="str">
        <x:v>2026-05-07</x:v>
      </x:c>
      <x:c r="I17" s="112" t="str">
        <x:v>2026-07-18</x:v>
      </x:c>
      <x:c r="J17" s="112" t="str">
        <x:v>https://investors.mpmaterials.com/investor-news/news-details/2026/MP-Materials-Reports-First-Quarter-2026-Results/default.aspx</x:v>
      </x:c>
      <x:c r="K17" s="112" t="str">
        <x:v>true</x:v>
      </x:c>
      <x:c r="L17" s="112" t="str">
        <x:v>supports</x:v>
      </x:c>
      <x:c r="M17" s="112" t="str">
        <x:v>NdPr production rose 63%, sales volume 117% and magnetics revenue reached $21.1M.</x:v>
      </x:c>
      <x:c r="N17" s="112" t="str">
        <x:v>high</x:v>
      </x:c>
    </x:row>
    <x:row r="18" ht="44" customHeight="1">
      <x:c r="A18" s="112" t="str">
        <x:v>src-2026-w29-mp-10q</x:v>
      </x:c>
      <x:c r="B18" s="112" t="str">
        <x:v>2026-07-18</x:v>
      </x:c>
      <x:c r="C18" s="112" t="str">
        <x:v>mp</x:v>
      </x:c>
      <x:c r="D18" s="112" t="str">
        <x:v>critical-minerals-security</x:v>
      </x:c>
      <x:c r="E18" s="112" t="str">
        <x:v>regulatory_filing</x:v>
      </x:c>
      <x:c r="F18" s="112" t="str">
        <x:v>MP Materials Form 10-Q for March 2026</x:v>
      </x:c>
      <x:c r="G18" s="112" t="str">
        <x:v>US SEC</x:v>
      </x:c>
      <x:c r="H18" s="112" t="str">
        <x:v>2026-05-08</x:v>
      </x:c>
      <x:c r="I18" s="112" t="str">
        <x:v>2026-07-18</x:v>
      </x:c>
      <x:c r="J18" s="112" t="str">
        <x:v>https://www.sec.gov/Archives/edgar/data/1801368/000180136826000029/mp-20260331.htm</x:v>
      </x:c>
      <x:c r="K18" s="112" t="str">
        <x:v>true</x:v>
      </x:c>
      <x:c r="L18" s="112" t="str">
        <x:v>challenges</x:v>
      </x:c>
      <x:c r="M18" s="112" t="str">
        <x:v>Q1 included $42.3M of price-protection income under the $110/kg government price floor.</x:v>
      </x:c>
      <x:c r="N18" s="112" t="str">
        <x:v>high</x:v>
      </x:c>
    </x:row>
    <x:row r="19" ht="44" customHeight="1">
      <x:c r="A19" s="112" t="str">
        <x:v>src-2026-w29-iea-minerals</x:v>
      </x:c>
      <x:c r="B19" s="112" t="str">
        <x:v>2026-07-18</x:v>
      </x:c>
      <x:c r="C19" s="112" t="str"/>
      <x:c r="D19" s="112" t="str">
        <x:v>critical-minerals-security</x:v>
      </x:c>
      <x:c r="E19" s="112" t="str">
        <x:v>official_research</x:v>
      </x:c>
      <x:c r="F19" s="112" t="str">
        <x:v>Global Critical Minerals Outlook 2026</x:v>
      </x:c>
      <x:c r="G19" s="112" t="str">
        <x:v>International Energy Agency</x:v>
      </x:c>
      <x:c r="H19" s="112" t="str">
        <x:v>2026-07-16</x:v>
      </x:c>
      <x:c r="I19" s="112" t="str">
        <x:v>2026-07-18</x:v>
      </x:c>
      <x:c r="J19" s="112" t="str">
        <x:v>https://www.iea.org/reports/global-critical-minerals-outlook-2026/executive-summary</x:v>
      </x:c>
      <x:c r="K19" s="112" t="str">
        <x:v>true</x:v>
      </x:c>
      <x:c r="L19" s="112" t="str">
        <x:v>supports</x:v>
      </x:c>
      <x:c r="M19" s="112" t="str">
        <x:v>Supply concentration and export controls have made diversification a strategic priority.</x:v>
      </x:c>
      <x:c r="N19" s="112" t="str">
        <x:v>high</x:v>
      </x:c>
    </x:row>
    <x:row r="20" ht="44" customHeight="1">
      <x:c r="A20" s="112" t="str">
        <x:v>src-2026-w29-iea-rare-earths</x:v>
      </x:c>
      <x:c r="B20" s="112" t="str">
        <x:v>2026-07-18</x:v>
      </x:c>
      <x:c r="C20" s="112" t="str"/>
      <x:c r="D20" s="112" t="str">
        <x:v>critical-minerals-security</x:v>
      </x:c>
      <x:c r="E20" s="112" t="str">
        <x:v>official_research</x:v>
      </x:c>
      <x:c r="F20" s="112" t="str">
        <x:v>Rare Earth Elements — Executive Summary</x:v>
      </x:c>
      <x:c r="G20" s="112" t="str">
        <x:v>International Energy Agency</x:v>
      </x:c>
      <x:c r="H20" s="112" t="str">
        <x:v>2026-01-01</x:v>
      </x:c>
      <x:c r="I20" s="112" t="str">
        <x:v>2026-07-18</x:v>
      </x:c>
      <x:c r="J20" s="112" t="str">
        <x:v>https://www.iea.org/reports/rare-earth-elements/executive-summary</x:v>
      </x:c>
      <x:c r="K20" s="112" t="str">
        <x:v>true</x:v>
      </x:c>
      <x:c r="L20" s="112" t="str">
        <x:v>supports</x:v>
      </x:c>
      <x:c r="M20" s="112" t="str">
        <x:v>China held 91% of refining and 94% of sintered permanent-magnet production in 2024.</x:v>
      </x:c>
      <x:c r="N20" s="112" t="str">
        <x:v>high</x:v>
      </x:c>
    </x:row>
    <x:row r="21" ht="44" customHeight="1">
      <x:c r="A21" s="112" t="str">
        <x:v>src-2026-w29-nrc</x:v>
      </x:c>
      <x:c r="B21" s="112" t="str">
        <x:v>2026-07-18</x:v>
      </x:c>
      <x:c r="C21" s="112" t="str"/>
      <x:c r="D21" s="112" t="str">
        <x:v>advanced-nuclear-enablers</x:v>
      </x:c>
      <x:c r="E21" s="112" t="str">
        <x:v>regulator_update</x:v>
      </x:c>
      <x:c r="F21" s="112" t="str">
        <x:v>Advanced Reactor Highlights 2026</x:v>
      </x:c>
      <x:c r="G21" s="112" t="str">
        <x:v>US Nuclear Regulatory Commission</x:v>
      </x:c>
      <x:c r="H21" s="112" t="str">
        <x:v>2026-04-15</x:v>
      </x:c>
      <x:c r="I21" s="112" t="str">
        <x:v>2026-07-18</x:v>
      </x:c>
      <x:c r="J21" s="112" t="str">
        <x:v>https://www.nrc.gov/reactors/new-reactors/advanced/highlights/2026</x:v>
      </x:c>
      <x:c r="K21" s="112" t="str">
        <x:v>true</x:v>
      </x:c>
      <x:c r="L21" s="112" t="str">
        <x:v>context</x:v>
      </x:c>
      <x:c r="M21" s="112" t="str">
        <x:v>The NRC issued a new Part 53 pathway and approved TerraPower construction activity.</x:v>
      </x:c>
      <x:c r="N21" s="112" t="str">
        <x:v>high</x:v>
      </x:c>
    </x:row>
    <x:row r="22" ht="44" customHeight="1">
      <x:c r="A22" s="112" t="str">
        <x:v>src-2026-w29-gev-market</x:v>
      </x:c>
      <x:c r="B22" s="112" t="str">
        <x:v>2026-07-18</x:v>
      </x:c>
      <x:c r="C22" s="112" t="str">
        <x:v>gev</x:v>
      </x:c>
      <x:c r="D22" s="112" t="str">
        <x:v>age-of-electricity</x:v>
      </x:c>
      <x:c r="E22" s="112" t="str">
        <x:v>market_data</x:v>
      </x:c>
      <x:c r="F22" s="112" t="str">
        <x:v>GEV market snapshot</x:v>
      </x:c>
      <x:c r="G22" s="112" t="str">
        <x:v>ChartExchange</x:v>
      </x:c>
      <x:c r="H22" s="112" t="str">
        <x:v>2026-07-17</x:v>
      </x:c>
      <x:c r="I22" s="112" t="str">
        <x:v>2026-07-18</x:v>
      </x:c>
      <x:c r="J22" s="112" t="str">
        <x:v>https://chartexchange.com/symbol/nyse-gev/</x:v>
      </x:c>
      <x:c r="K22" s="112" t="str">
        <x:v>false</x:v>
      </x:c>
      <x:c r="L22" s="112" t="str">
        <x:v>context</x:v>
      </x:c>
      <x:c r="M22" s="112" t="str">
        <x:v>Market capitalisation was approximately $284.3B.</x:v>
      </x:c>
      <x:c r="N22" s="112" t="str">
        <x:v>medium</x:v>
      </x:c>
    </x:row>
    <x:row r="23" ht="44" customHeight="1">
      <x:c r="A23" s="112" t="str">
        <x:v>src-2026-w29-vrt-market</x:v>
      </x:c>
      <x:c r="B23" s="112" t="str">
        <x:v>2026-07-18</x:v>
      </x:c>
      <x:c r="C23" s="112" t="str">
        <x:v>vrt</x:v>
      </x:c>
      <x:c r="D23" s="112" t="str">
        <x:v>ai-physical-infrastructure</x:v>
      </x:c>
      <x:c r="E23" s="112" t="str">
        <x:v>market_data</x:v>
      </x:c>
      <x:c r="F23" s="112" t="str">
        <x:v>Vertiv stock-price history</x:v>
      </x:c>
      <x:c r="G23" s="112" t="str">
        <x:v>Macrotrends</x:v>
      </x:c>
      <x:c r="H23" s="112" t="str">
        <x:v>2026-07-17</x:v>
      </x:c>
      <x:c r="I23" s="112" t="str">
        <x:v>2026-07-18</x:v>
      </x:c>
      <x:c r="J23" s="112" t="str">
        <x:v>https://www.macrotrends.net/stocks/charts/VRT/vertiv-holdings/stock-price-history</x:v>
      </x:c>
      <x:c r="K23" s="112" t="str">
        <x:v>false</x:v>
      </x:c>
      <x:c r="L23" s="112" t="str">
        <x:v>context</x:v>
      </x:c>
      <x:c r="M23" s="112" t="str">
        <x:v>Closing price was $289.56 and market capitalisation approximately $113.0B.</x:v>
      </x:c>
      <x:c r="N23" s="112" t="str">
        <x:v>medium</x:v>
      </x:c>
    </x:row>
    <x:row r="24" ht="44" customHeight="1">
      <x:c r="A24" s="112" t="str">
        <x:v>src-2026-w29-crdo-market</x:v>
      </x:c>
      <x:c r="B24" s="112" t="str">
        <x:v>2026-07-18</x:v>
      </x:c>
      <x:c r="C24" s="112" t="str">
        <x:v>crdo</x:v>
      </x:c>
      <x:c r="D24" s="112" t="str">
        <x:v>high-speed-connectivity</x:v>
      </x:c>
      <x:c r="E24" s="112" t="str">
        <x:v>market_data</x:v>
      </x:c>
      <x:c r="F24" s="112" t="str">
        <x:v>CRDO market snapshot</x:v>
      </x:c>
      <x:c r="G24" s="112" t="str">
        <x:v>ChartExchange</x:v>
      </x:c>
      <x:c r="H24" s="112" t="str">
        <x:v>2026-07-16</x:v>
      </x:c>
      <x:c r="I24" s="112" t="str">
        <x:v>2026-07-18</x:v>
      </x:c>
      <x:c r="J24" s="112" t="str">
        <x:v>https://chartexchange.com/symbol/nasdaq-crdo/</x:v>
      </x:c>
      <x:c r="K24" s="112" t="str">
        <x:v>false</x:v>
      </x:c>
      <x:c r="L24" s="112" t="str">
        <x:v>context</x:v>
      </x:c>
      <x:c r="M24" s="112" t="str">
        <x:v>Market capitalisation was approximately $38.4B.</x:v>
      </x:c>
      <x:c r="N24" s="112" t="str">
        <x:v>medium</x:v>
      </x:c>
    </x:row>
    <x:row r="25" ht="44" customHeight="1">
      <x:c r="A25" s="112" t="str">
        <x:v>src-2026-w29-rklb-market</x:v>
      </x:c>
      <x:c r="B25" s="112" t="str">
        <x:v>2026-07-18</x:v>
      </x:c>
      <x:c r="C25" s="112" t="str">
        <x:v>rklb</x:v>
      </x:c>
      <x:c r="D25" s="112" t="str">
        <x:v>vertically-integrated-space</x:v>
      </x:c>
      <x:c r="E25" s="112" t="str">
        <x:v>market_data</x:v>
      </x:c>
      <x:c r="F25" s="112" t="str">
        <x:v>RKLB closing-price snapshot</x:v>
      </x:c>
      <x:c r="G25" s="112" t="str">
        <x:v>MarketBeat</x:v>
      </x:c>
      <x:c r="H25" s="112" t="str">
        <x:v>2026-07-17</x:v>
      </x:c>
      <x:c r="I25" s="112" t="str">
        <x:v>2026-07-18</x:v>
      </x:c>
      <x:c r="J25" s="112" t="str">
        <x:v>https://www.marketbeat.com/stocks/NASDAQ/RKLB/</x:v>
      </x:c>
      <x:c r="K25" s="112" t="str">
        <x:v>false</x:v>
      </x:c>
      <x:c r="L25" s="112" t="str">
        <x:v>context</x:v>
      </x:c>
      <x:c r="M25" s="112" t="str">
        <x:v>Closing price was $67.62 and approximate market capitalisation was $42B.</x:v>
      </x:c>
      <x:c r="N25" s="112" t="str">
        <x:v>medium</x:v>
      </x:c>
    </x:row>
    <x:row r="26" ht="44" customHeight="1">
      <x:c r="A26" s="112" t="str">
        <x:v>src-2026-w29-mp-market</x:v>
      </x:c>
      <x:c r="B26" s="112" t="str">
        <x:v>2026-07-18</x:v>
      </x:c>
      <x:c r="C26" s="112" t="str">
        <x:v>mp</x:v>
      </x:c>
      <x:c r="D26" s="112" t="str">
        <x:v>critical-minerals-security</x:v>
      </x:c>
      <x:c r="E26" s="112" t="str">
        <x:v>market_data</x:v>
      </x:c>
      <x:c r="F26" s="112" t="str">
        <x:v>MP market snapshot</x:v>
      </x:c>
      <x:c r="G26" s="112" t="str">
        <x:v>Fox Business</x:v>
      </x:c>
      <x:c r="H26" s="112" t="str">
        <x:v>2026-07-17</x:v>
      </x:c>
      <x:c r="I26" s="112" t="str">
        <x:v>2026-07-18</x:v>
      </x:c>
      <x:c r="J26" s="112" t="str">
        <x:v>https://www.foxbusiness.com/quote?stockTicker=MP</x:v>
      </x:c>
      <x:c r="K26" s="112" t="str">
        <x:v>false</x:v>
      </x:c>
      <x:c r="L26" s="112" t="str">
        <x:v>context</x:v>
      </x:c>
      <x:c r="M26" s="112" t="str">
        <x:v>Market capitalisation was approximately $8.1B.</x:v>
      </x:c>
      <x:c r="N26" s="112" t="str">
        <x:v>medium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6" hidden="0" customWidth="1"/>
    <x:col min="5" max="5" width="29" hidden="0" customWidth="1"/>
    <x:col min="6" max="6" width="14" hidden="0" customWidth="1"/>
    <x:col min="7" max="7" width="29" hidden="0" customWidth="1"/>
    <x:col min="8" max="8" width="29" hidden="0" customWidth="1"/>
    <x:col min="9" max="9" width="16" hidden="0" customWidth="1"/>
    <x:col min="10" max="10" width="52" hidden="0" customWidth="1"/>
    <x:col min="11" max="11" width="42" hidden="0" customWidth="1"/>
  </x:cols>
  <x:sheetData>
    <x:row r="1" ht="34" customHeight="1">
      <x:c r="A1" s="124" t="str">
        <x:v>report_id</x:v>
      </x:c>
      <x:c r="B1" s="125" t="str">
        <x:v>week_id</x:v>
      </x:c>
      <x:c r="C1" s="125" t="str">
        <x:v>period_start</x:v>
      </x:c>
      <x:c r="D1" s="125" t="str">
        <x:v>period_end</x:v>
      </x:c>
      <x:c r="E1" s="125" t="str">
        <x:v>data_cutoff</x:v>
      </x:c>
      <x:c r="F1" s="125" t="str">
        <x:v>status</x:v>
      </x:c>
      <x:c r="G1" s="125" t="str">
        <x:v>generated_at</x:v>
      </x:c>
      <x:c r="H1" s="125" t="str">
        <x:v>approved_at</x:v>
      </x:c>
      <x:c r="I1" s="125" t="str">
        <x:v>approved_by</x:v>
      </x:c>
      <x:c r="J1" s="125" t="str">
        <x:v>subject</x:v>
      </x:c>
      <x:c r="K1" s="126" t="str">
        <x:v>archive_path</x:v>
      </x:c>
    </x:row>
    <x:row r="2" ht="30" customHeight="1">
      <x:c r="A2" s="112" t="str">
        <x:v>2026-W29-001</x:v>
      </x:c>
      <x:c r="B2" s="112" t="str">
        <x:v>2026-W29</x:v>
      </x:c>
      <x:c r="C2" s="112" t="str">
        <x:v>2026-07-14</x:v>
      </x:c>
      <x:c r="D2" s="112" t="str">
        <x:v>2026-07-18</x:v>
      </x:c>
      <x:c r="E2" s="146" t="n">
        <x:v>46221.875</x:v>
      </x:c>
      <x:c r="F2" s="112" t="str">
        <x:v>approved</x:v>
      </x:c>
      <x:c r="G2" s="146" t="n">
        <x:v>46221.875</x:v>
      </x:c>
      <x:c r="H2" s="146" t="n">
        <x:v>46221.875</x:v>
      </x:c>
      <x:c r="I2" s="112" t="str">
        <x:v>owner</x:v>
      </x:c>
      <x:c r="J2" s="112" t="str">
        <x:v>Investo Master — Issue 001: Baseline / Wide Week</x:v>
      </x:c>
      <x:c r="K2" s="112" t="str">
        <x:v>reports/2026/2026-W29-issue-001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8" t="str">
        <x:v>Investo Master — Issue 001 Baseline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2" t="str">
        <x:v>Wide week · Evidence cut-off 2026-07-18 23:00 CEST · Research record, not a trade instruction</x:v>
      </x:c>
      <x:c r="B3" s="12"/>
      <x:c r="C3" s="12"/>
      <x:c r="D3" s="12"/>
      <x:c r="E3" s="12"/>
      <x:c r="F3" s="12"/>
      <x:c r="G3" s="12"/>
      <x:c r="H3" s="12"/>
    </x:row>
    <x:row r="4" ht="22" customHeight="1"/>
    <x:row r="5" ht="22" customHeight="1">
      <x:c r="A5" s="16" t="str">
        <x:v>Baseline dashboard</x:v>
      </x:c>
      <x:c r="B5" s="16"/>
      <x:c r="C5" s="16"/>
      <x:c r="D5" s="16"/>
      <x:c r="E5" s="16"/>
      <x:c r="F5" s="16"/>
      <x:c r="G5" s="16"/>
      <x:c r="H5" s="16"/>
    </x:row>
    <x:row r="6" ht="22" customHeight="1">
      <x:c r="A6" s="42" t="str">
        <x:v>Action posture</x:v>
      </x:c>
      <x:c r="B6" s="43"/>
      <x:c r="C6" s="43" t="str">
        <x:v>Candidates</x:v>
      </x:c>
      <x:c r="D6" s="43"/>
      <x:c r="E6" s="43" t="str">
        <x:v>Researching</x:v>
      </x:c>
      <x:c r="F6" s="43"/>
      <x:c r="G6" s="43" t="str">
        <x:v>Average score</x:v>
      </x:c>
      <x:c r="H6" s="44"/>
    </x:row>
    <x:row r="7" ht="22" customHeight="1">
      <x:c r="A7" s="45" t="str">
        <x:v>NO ACTION</x:v>
      </x:c>
      <x:c r="B7" s="30"/>
      <x:c r="C7" s="40" t="n">
        <x:f>COUNTA('Candidates'!A2:A6)</x:f>
        <x:v>5</x:v>
      </x:c>
      <x:c r="D7" s="40"/>
      <x:c r="E7" s="40" t="n">
        <x:f>COUNTIF('Candidates'!K2:K6,"researching")</x:f>
        <x:v>3</x:v>
      </x:c>
      <x:c r="F7" s="40"/>
      <x:c r="G7" s="40" t="n">
        <x:f>AVERAGE('Scores'!M2:M6)</x:f>
        <x:v>74.6</x:v>
      </x:c>
      <x:c r="H7" s="46"/>
    </x:row>
    <x:row r="8" ht="22" customHeight="1">
      <x:c r="A8" s="47"/>
      <x:c r="B8" s="48"/>
      <x:c r="C8" s="49"/>
      <x:c r="D8" s="49"/>
      <x:c r="E8" s="49"/>
      <x:c r="F8" s="49"/>
      <x:c r="G8" s="49"/>
      <x:c r="H8" s="50"/>
    </x:row>
    <x:row r="9" ht="22" customHeight="1"/>
    <x:row r="10" ht="22" customHeight="1">
      <x:c r="A10" s="16" t="str">
        <x:v>Week 1 conclusion</x:v>
      </x:c>
      <x:c r="B10" s="16"/>
      <x:c r="C10" s="16"/>
      <x:c r="D10" s="16"/>
      <x:c r="E10" s="16"/>
      <x:c r="F10" s="16"/>
      <x:c r="G10" s="16"/>
      <x:c r="H10" s="16"/>
    </x:row>
    <x:row r="11" ht="32" customHeight="1">
      <x:c r="A11" s="68" t="str">
        <x:v>The structural changes are real, but the obvious public beneficiaries already carry demanding expectations. Rocket Lab, Credo and MP Materials deserve further research; none has passed complete underwriting or valuation gates.</x:v>
      </x:c>
      <x:c r="B11" s="69"/>
      <x:c r="C11" s="69"/>
      <x:c r="D11" s="69"/>
      <x:c r="E11" s="69"/>
      <x:c r="F11" s="69"/>
      <x:c r="G11" s="69"/>
      <x:c r="H11" s="70"/>
    </x:row>
    <x:row r="12" ht="32" customHeight="1">
      <x:c r="A12" s="71"/>
      <x:c r="B12" s="66"/>
      <x:c r="C12" s="66"/>
      <x:c r="D12" s="66"/>
      <x:c r="E12" s="66"/>
      <x:c r="F12" s="66"/>
      <x:c r="G12" s="66"/>
      <x:c r="H12" s="72"/>
    </x:row>
    <x:row r="13" ht="32" customHeight="1">
      <x:c r="A13" s="73"/>
      <x:c r="B13" s="74"/>
      <x:c r="C13" s="74"/>
      <x:c r="D13" s="74"/>
      <x:c r="E13" s="74"/>
      <x:c r="F13" s="74"/>
      <x:c r="G13" s="74"/>
      <x:c r="H13" s="75"/>
    </x:row>
    <x:row r="14" ht="22" customHeight="1"/>
    <x:row r="15" ht="22" customHeight="1">
      <x:c r="A15" s="84" t="str">
        <x:v>Candidate</x:v>
      </x:c>
      <x:c r="B15" s="84" t="str">
        <x:v>Score</x:v>
      </x:c>
    </x:row>
    <x:row r="16" ht="22" customHeight="1">
      <x:c r="A16" t="str">
        <x:v>GE Vernova</x:v>
      </x:c>
      <x:c r="B16" s="86" t="n">
        <x:v>78</x:v>
      </x:c>
    </x:row>
    <x:row r="17" ht="22" customHeight="1">
      <x:c r="A17" t="str">
        <x:v>Vertiv</x:v>
      </x:c>
      <x:c r="B17" s="86" t="n">
        <x:v>78</x:v>
      </x:c>
    </x:row>
    <x:row r="18" ht="22" customHeight="1">
      <x:c r="A18" t="str">
        <x:v>Credo</x:v>
      </x:c>
      <x:c r="B18" s="86" t="n">
        <x:v>73</x:v>
      </x:c>
    </x:row>
    <x:row r="19" ht="22" customHeight="1">
      <x:c r="A19" t="str">
        <x:v>Rocket Lab</x:v>
      </x:c>
      <x:c r="B19" s="86" t="n">
        <x:v>72</x:v>
      </x:c>
    </x:row>
    <x:row r="20" ht="22" customHeight="1">
      <x:c r="A20" t="str">
        <x:v>MP Materials</x:v>
      </x:c>
      <x:c r="B20" s="86" t="n">
        <x:v>72</x:v>
      </x:c>
    </x:row>
    <x:row r="21" ht="22" customHeight="1"/>
    <x:row r="22" ht="22" customHeight="1">
      <x:c r="A22" s="84" t="str">
        <x:v>Research queue</x:v>
      </x:c>
      <x:c r="B22" s="84" t="str">
        <x:v>Priority</x:v>
      </x:c>
      <x:c r="C22" s="84" t="str">
        <x:v>Status</x:v>
      </x:c>
    </x:row>
    <x:row r="23" ht="22" customHeight="1">
      <x:c r="A23" s="90" t="str">
        <x:v>Rocket Lab / Iridium financing bridge</x:v>
      </x:c>
      <x:c r="B23" s="91" t="n">
        <x:v>1</x:v>
      </x:c>
      <x:c r="C23" s="92" t="str">
        <x:v>next</x:v>
      </x:c>
    </x:row>
    <x:row r="24" ht="22" customHeight="1">
      <x:c r="A24" s="93" t="str">
        <x:v>AI power value-chain map</x:v>
      </x:c>
      <x:c r="B24" s="94" t="n">
        <x:v>2</x:v>
      </x:c>
      <x:c r="C24" s="95" t="str">
        <x:v>next</x:v>
      </x:c>
    </x:row>
    <x:row r="25" ht="22" customHeight="1">
      <x:c r="A25" s="93" t="str">
        <x:v>Credo customer diversification</x:v>
      </x:c>
      <x:c r="B25" s="94" t="n">
        <x:v>3</x:v>
      </x:c>
      <x:c r="C25" s="95" t="str">
        <x:v>queued</x:v>
      </x:c>
    </x:row>
    <x:row r="26" ht="22" customHeight="1">
      <x:c r="A26" s="93" t="str">
        <x:v>MP support-adjusted economics</x:v>
      </x:c>
      <x:c r="B26" s="94" t="n">
        <x:v>4</x:v>
      </x:c>
      <x:c r="C26" s="95" t="str">
        <x:v>queued</x:v>
      </x:c>
    </x:row>
    <x:row r="27" ht="22" customHeight="1">
      <x:c r="A27" s="96" t="str">
        <x:v>Advanced nuclear fuel-cycle map</x:v>
      </x:c>
      <x:c r="B27" s="97" t="n">
        <x:v>5</x:v>
      </x:c>
      <x:c r="C27" s="98" t="str">
        <x:v>queued</x:v>
      </x:c>
    </x:row>
    <x:row r="28" ht="22" customHeight="1"/>
    <x:row r="29" ht="22" customHeight="1"/>
  </x:sheetData>
  <x:mergeCells>
    <x:mergeCell ref="A1:H2"/>
    <x:mergeCell ref="A3:H3"/>
    <x:mergeCell ref="A5:H5"/>
    <x:mergeCell ref="A6:B6"/>
    <x:mergeCell ref="A7:B8"/>
    <x:mergeCell ref="C6:D6"/>
    <x:mergeCell ref="C7:D8"/>
    <x:mergeCell ref="E6:F6"/>
    <x:mergeCell ref="E7:F8"/>
    <x:mergeCell ref="G6:H6"/>
    <x:mergeCell ref="G7:H8"/>
    <x:mergeCell ref="A10:H10"/>
    <x:mergeCell ref="A11:H13"/>
  </x:mergeCells>
  <x:pageMargins left="0.7" right="0.7" top="0.75" bottom="0.75" header="0.3" footer="0.3"/>
  <x:drawing xmlns:r="http://schemas.openxmlformats.org/officeDocument/2006/relationships" r:id="R4b88abfc722a471e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>
      <x:c r="A1" s="150" t="str">
        <x:v>Baseline workbook checks</x:v>
      </x:c>
      <x:c r="B1" s="150"/>
      <x:c r="C1" s="150"/>
      <x:c r="D1" s="150"/>
      <x:c r="E1" s="150"/>
      <x:c r="F1" s="150"/>
    </x:row>
    <x:row r="2">
      <x:c r="A2" s="150"/>
      <x:c r="B2" s="150"/>
      <x:c r="C2" s="150"/>
      <x:c r="D2" s="150"/>
      <x:c r="E2" s="150"/>
      <x:c r="F2" s="150"/>
    </x:row>
    <x:row r="4">
      <x:c r="A4" s="152" t="str">
        <x:v>Check</x:v>
      </x:c>
      <x:c r="B4" s="152" t="str">
        <x:v>Actual</x:v>
      </x:c>
      <x:c r="C4" s="152" t="str">
        <x:v>Expected</x:v>
      </x:c>
      <x:c r="D4" s="152" t="str">
        <x:v>Difference</x:v>
      </x:c>
      <x:c r="E4" s="152" t="str">
        <x:v>Status</x:v>
      </x:c>
    </x:row>
    <x:row r="5">
      <x:c r="A5" s="90" t="str">
        <x:v>Candidate rows</x:v>
      </x:c>
      <x:c r="B5" s="154" t="n">
        <x:f>COUNTA('Candidates'!A2:A6)</x:f>
        <x:v>5</x:v>
      </x:c>
      <x:c r="C5" s="154" t="n">
        <x:v>5</x:v>
      </x:c>
      <x:c r="D5" s="154" t="n">
        <x:f>B5-C5</x:f>
        <x:v>0</x:v>
      </x:c>
      <x:c r="E5" s="172" t="str">
        <x:f>IF(D5=0,"OK","FAIL")</x:f>
        <x:v>OK</x:v>
      </x:c>
    </x:row>
    <x:row r="6">
      <x:c r="A6" s="93" t="str">
        <x:v>Source rows</x:v>
      </x:c>
      <x:c r="B6" s="155" t="n">
        <x:f>COUNTA('Sources'!A2:A26)</x:f>
        <x:v>25</x:v>
      </x:c>
      <x:c r="C6" s="155" t="n">
        <x:v>25</x:v>
      </x:c>
      <x:c r="D6" s="155" t="n">
        <x:f>B6-C6</x:f>
        <x:v>0</x:v>
      </x:c>
      <x:c r="E6" s="173" t="str">
        <x:f>IF(D6=0,"OK","FAIL")</x:f>
        <x:v>OK</x:v>
      </x:c>
    </x:row>
    <x:row r="7">
      <x:c r="A7" s="93" t="str">
        <x:v>Minimum score</x:v>
      </x:c>
      <x:c r="B7" s="155" t="n">
        <x:f>MIN('Scores'!M2:M6)</x:f>
        <x:v>72</x:v>
      </x:c>
      <x:c r="C7" s="155" t="n">
        <x:v>0</x:v>
      </x:c>
      <x:c r="D7" s="155" t="n">
        <x:f>B7-C7</x:f>
        <x:v>72</x:v>
      </x:c>
      <x:c r="E7" s="173" t="str">
        <x:f>IF(B7&gt;=C7,"OK","FAIL")</x:f>
        <x:v>OK</x:v>
      </x:c>
    </x:row>
    <x:row r="8">
      <x:c r="A8" s="93" t="str">
        <x:v>Maximum score</x:v>
      </x:c>
      <x:c r="B8" s="155" t="n">
        <x:f>MAX('Scores'!M2:M6)</x:f>
        <x:v>78</x:v>
      </x:c>
      <x:c r="C8" s="155" t="n">
        <x:v>100</x:v>
      </x:c>
      <x:c r="D8" s="155" t="n">
        <x:f>B8-C8</x:f>
        <x:v>-22</x:v>
      </x:c>
      <x:c r="E8" s="173" t="str">
        <x:f>IF(B8&lt;=C8,"OK","FAIL")</x:f>
        <x:v>OK</x:v>
      </x:c>
    </x:row>
    <x:row r="9">
      <x:c r="A9" s="96" t="str">
        <x:v>Populated totals</x:v>
      </x:c>
      <x:c r="B9" s="156" t="n">
        <x:f>COUNT('Scores'!M2:M6)</x:f>
        <x:v>5</x:v>
      </x:c>
      <x:c r="C9" s="156" t="n">
        <x:v>5</x:v>
      </x:c>
      <x:c r="D9" s="156" t="n">
        <x:f>B9-C9</x:f>
        <x:v>0</x:v>
      </x:c>
      <x:c r="E9" s="174" t="str">
        <x:f>IF(D9=0,"OK","FAIL")</x:f>
        <x:v>OK</x:v>
      </x:c>
    </x:row>
    <x:row r="11">
      <x:c r="A11" s="152" t="str">
        <x:v>Model status</x:v>
      </x:c>
      <x:c r="B11" s="152"/>
      <x:c r="C11" s="152"/>
      <x:c r="D11" s="152"/>
      <x:c r="E11" s="152"/>
    </x:row>
    <x:row r="12">
      <x:c r="A12" s="204" t="str">
        <x:f>IF(COUNTIF(E5:E9,"FAIL")=0,"OK — BASELINE DATA PASSED","FAIL — REVIEW CHECKS")</x:f>
        <x:v>OK — BASELINE DATA PASSED</x:v>
      </x:c>
      <x:c r="B12" s="205"/>
      <x:c r="C12" s="205"/>
      <x:c r="D12" s="205"/>
      <x:c r="E12" s="206"/>
    </x:row>
    <x:row r="13">
      <x:c r="A13" s="207"/>
      <x:c r="B13" s="208"/>
      <x:c r="C13" s="208"/>
      <x:c r="D13" s="208"/>
      <x:c r="E13" s="209"/>
    </x:row>
  </x:sheetData>
  <x:mergeCells>
    <x:mergeCell ref="A1:F2"/>
    <x:mergeCell ref="A11:E11"/>
    <x:mergeCell ref="A12:E13"/>
  </x:mergeCells>
  <x:pageMargins left="0.7" right="0.7" top="0.75" bottom="0.75" header="0.3" footer="0.3"/>
</x:worksheet>
</file>